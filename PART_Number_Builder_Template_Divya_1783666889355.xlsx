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yik\Downloads\"/>
    </mc:Choice>
  </mc:AlternateContent>
  <xr:revisionPtr revIDLastSave="0" documentId="13_ncr:1_{44944EDC-B16D-4929-BAC7-E3F5C7B50302}" xr6:coauthVersionLast="47" xr6:coauthVersionMax="47" xr10:uidLastSave="{00000000-0000-0000-0000-000000000000}"/>
  <bookViews>
    <workbookView xWindow="-110" yWindow="-110" windowWidth="32220" windowHeight="19500" tabRatio="496" activeTab="1" xr2:uid="{8DB151DA-78F1-45D6-9142-4A07A2AB0659}"/>
  </bookViews>
  <sheets>
    <sheet name="Dropdown Values" sheetId="2" r:id="rId1"/>
    <sheet name="Value Descriptions" sheetId="3" r:id="rId2"/>
    <sheet name="Part Number Builder R1" sheetId="4" r:id="rId3"/>
  </sheets>
  <definedNames>
    <definedName name="_xlnm._FilterDatabase" localSheetId="0" hidden="1">'Dropdown Values'!$A$1:$Q$39</definedName>
    <definedName name="_xlnm._FilterDatabase" localSheetId="2" hidden="1">'Part Number Builder R1'!$A$3:$A$204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4" l="1"/>
  <c r="F8" i="4"/>
  <c r="F204" i="4"/>
  <c r="F203" i="4"/>
  <c r="F202" i="4"/>
  <c r="F201" i="4"/>
  <c r="F200" i="4"/>
  <c r="F199" i="4"/>
  <c r="F198" i="4"/>
  <c r="F197" i="4"/>
  <c r="F196" i="4"/>
  <c r="F195" i="4"/>
  <c r="F194" i="4"/>
  <c r="F193" i="4"/>
  <c r="F192" i="4"/>
  <c r="F191" i="4"/>
  <c r="F190" i="4"/>
  <c r="F189" i="4"/>
  <c r="F188" i="4"/>
  <c r="F187" i="4"/>
  <c r="F186" i="4"/>
  <c r="F11" i="4"/>
  <c r="F23" i="4"/>
  <c r="F110" i="4"/>
  <c r="F32" i="4"/>
  <c r="F31" i="4"/>
  <c r="F26" i="4"/>
  <c r="F25" i="4"/>
  <c r="F119" i="4"/>
  <c r="F27" i="4"/>
  <c r="F82" i="4"/>
  <c r="F130" i="4"/>
  <c r="F128" i="4"/>
  <c r="F179" i="4"/>
  <c r="F177" i="4"/>
  <c r="F176" i="4"/>
  <c r="F175" i="4"/>
  <c r="F173" i="4"/>
  <c r="F172" i="4"/>
  <c r="F171" i="4"/>
  <c r="F170" i="4"/>
  <c r="F169" i="4"/>
  <c r="F168" i="4"/>
  <c r="F178" i="4"/>
  <c r="F180" i="4"/>
  <c r="F30" i="4"/>
  <c r="F36" i="4"/>
  <c r="F34" i="4"/>
  <c r="F127" i="4"/>
  <c r="F174" i="4"/>
  <c r="F6" i="4"/>
  <c r="F181" i="4"/>
  <c r="F35" i="4"/>
  <c r="F129" i="4"/>
  <c r="F167" i="4"/>
  <c r="F15" i="4"/>
  <c r="F19" i="4"/>
  <c r="F16" i="4"/>
  <c r="F105" i="4"/>
  <c r="F114" i="4"/>
  <c r="F113" i="4"/>
  <c r="F112" i="4"/>
  <c r="F111" i="4"/>
  <c r="F109" i="4"/>
  <c r="F108" i="4"/>
  <c r="F107" i="4"/>
  <c r="F106" i="4"/>
  <c r="F125" i="4"/>
  <c r="F124" i="4"/>
  <c r="F123" i="4"/>
  <c r="F122" i="4"/>
  <c r="F121" i="4"/>
  <c r="F120" i="4"/>
  <c r="F101" i="4"/>
  <c r="F91" i="4"/>
  <c r="F118" i="4"/>
  <c r="F117" i="4"/>
  <c r="F131" i="4"/>
  <c r="F166" i="4"/>
  <c r="F165" i="4"/>
  <c r="F88" i="4"/>
  <c r="F84" i="4"/>
  <c r="F81" i="4"/>
  <c r="F77" i="4"/>
  <c r="F14" i="4"/>
  <c r="F116" i="4"/>
  <c r="F115" i="4"/>
  <c r="F104" i="4"/>
  <c r="F164" i="4"/>
  <c r="F163" i="4"/>
  <c r="F162" i="4"/>
  <c r="F161" i="4"/>
  <c r="F160" i="4"/>
  <c r="F159" i="4"/>
  <c r="F158" i="4"/>
  <c r="F157" i="4"/>
  <c r="F156" i="4"/>
  <c r="F155" i="4"/>
  <c r="F154" i="4"/>
  <c r="F153" i="4"/>
  <c r="F152" i="4"/>
  <c r="F151" i="4"/>
  <c r="F150" i="4"/>
  <c r="F149" i="4"/>
  <c r="F148" i="4"/>
  <c r="F147" i="4"/>
  <c r="F146" i="4"/>
  <c r="F145" i="4"/>
  <c r="F144" i="4"/>
  <c r="F143" i="4"/>
  <c r="F142" i="4"/>
  <c r="F141" i="4"/>
  <c r="F140" i="4"/>
  <c r="F139" i="4"/>
  <c r="F138" i="4"/>
  <c r="F137" i="4"/>
  <c r="F33" i="4"/>
  <c r="F22" i="4"/>
  <c r="F18" i="4"/>
  <c r="F24" i="4"/>
  <c r="F17" i="4"/>
  <c r="F12" i="4"/>
  <c r="F136" i="4"/>
  <c r="F135" i="4"/>
  <c r="F134" i="4"/>
  <c r="F86" i="4"/>
  <c r="F48" i="4"/>
  <c r="F133" i="4"/>
  <c r="F132" i="4"/>
  <c r="F126" i="4"/>
  <c r="F78" i="4"/>
  <c r="F100" i="4"/>
  <c r="F99" i="4"/>
  <c r="F7" i="4"/>
  <c r="F13" i="4"/>
  <c r="F20" i="4"/>
  <c r="F21" i="4"/>
  <c r="F28" i="4"/>
  <c r="F29" i="4"/>
  <c r="F37" i="4"/>
  <c r="F38" i="4"/>
  <c r="F39" i="4"/>
  <c r="F40" i="4"/>
  <c r="F41" i="4"/>
  <c r="F42" i="4"/>
  <c r="F43" i="4"/>
  <c r="F44" i="4"/>
  <c r="F45" i="4"/>
  <c r="F46" i="4"/>
  <c r="F47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9" i="4"/>
  <c r="F80" i="4"/>
  <c r="F83" i="4"/>
  <c r="F85" i="4"/>
  <c r="F87" i="4"/>
  <c r="F89" i="4"/>
  <c r="F90" i="4"/>
  <c r="F92" i="4"/>
  <c r="F93" i="4"/>
  <c r="F94" i="4"/>
  <c r="F95" i="4"/>
  <c r="F96" i="4"/>
  <c r="F97" i="4"/>
  <c r="F98" i="4"/>
  <c r="F102" i="4"/>
  <c r="F103" i="4"/>
  <c r="F5" i="4"/>
</calcChain>
</file>

<file path=xl/sharedStrings.xml><?xml version="1.0" encoding="utf-8"?>
<sst xmlns="http://schemas.openxmlformats.org/spreadsheetml/2006/main" count="6075" uniqueCount="744">
  <si>
    <t>Product Category</t>
  </si>
  <si>
    <t>Product Name</t>
  </si>
  <si>
    <t>Product Code</t>
  </si>
  <si>
    <t>SKU</t>
  </si>
  <si>
    <t>Product Details</t>
  </si>
  <si>
    <t>Part Number Builder</t>
  </si>
  <si>
    <t>Company</t>
  </si>
  <si>
    <t>-</t>
  </si>
  <si>
    <t>IK</t>
  </si>
  <si>
    <t>02</t>
  </si>
  <si>
    <t>MV</t>
  </si>
  <si>
    <t>D</t>
  </si>
  <si>
    <t>CCT</t>
  </si>
  <si>
    <t>WD</t>
  </si>
  <si>
    <t>BK</t>
  </si>
  <si>
    <t>BFU</t>
  </si>
  <si>
    <t>Size Variant</t>
  </si>
  <si>
    <t>Voltage Range</t>
  </si>
  <si>
    <t>Dimming</t>
  </si>
  <si>
    <t>Selectable/Fixed Power</t>
  </si>
  <si>
    <t>Max/Exact Power</t>
  </si>
  <si>
    <t>S</t>
  </si>
  <si>
    <t>UHB</t>
  </si>
  <si>
    <t>Product Model</t>
  </si>
  <si>
    <t>Version/Variant</t>
  </si>
  <si>
    <t>Light Distribution</t>
  </si>
  <si>
    <t>Driver</t>
  </si>
  <si>
    <t>01</t>
  </si>
  <si>
    <t>Finish</t>
  </si>
  <si>
    <t>Manufacturer</t>
  </si>
  <si>
    <t>UFO High Bay</t>
  </si>
  <si>
    <t>Upstar UFO High Bay</t>
  </si>
  <si>
    <t>04</t>
  </si>
  <si>
    <t>05</t>
  </si>
  <si>
    <t>03</t>
  </si>
  <si>
    <t>F</t>
  </si>
  <si>
    <t>LV</t>
  </si>
  <si>
    <t>HV</t>
  </si>
  <si>
    <t>N</t>
  </si>
  <si>
    <t>30K</t>
  </si>
  <si>
    <t>35K</t>
  </si>
  <si>
    <t>40K</t>
  </si>
  <si>
    <t>45K</t>
  </si>
  <si>
    <t>50K</t>
  </si>
  <si>
    <t>57K</t>
  </si>
  <si>
    <t>60K</t>
  </si>
  <si>
    <t>65K</t>
  </si>
  <si>
    <t>ND</t>
  </si>
  <si>
    <t>UD</t>
  </si>
  <si>
    <t>WH</t>
  </si>
  <si>
    <t>BR</t>
  </si>
  <si>
    <t>GR</t>
  </si>
  <si>
    <t>Product Description</t>
  </si>
  <si>
    <t>AC 120-277V, 50/60Hz, 2.4A, Black,
100W/150W/200W/240W, 3500K/4000K/5000K</t>
  </si>
  <si>
    <t>0002</t>
  </si>
  <si>
    <t>0005</t>
  </si>
  <si>
    <t>0008</t>
  </si>
  <si>
    <t>0010</t>
  </si>
  <si>
    <t>0012</t>
  </si>
  <si>
    <t>0015</t>
  </si>
  <si>
    <t>0018</t>
  </si>
  <si>
    <t>0020</t>
  </si>
  <si>
    <t>0022</t>
  </si>
  <si>
    <t>0025</t>
  </si>
  <si>
    <t>0028</t>
  </si>
  <si>
    <t>0030</t>
  </si>
  <si>
    <t>0040</t>
  </si>
  <si>
    <t>0050</t>
  </si>
  <si>
    <t>0060</t>
  </si>
  <si>
    <t>0070</t>
  </si>
  <si>
    <t>0080</t>
  </si>
  <si>
    <t>0090</t>
  </si>
  <si>
    <t>0100</t>
  </si>
  <si>
    <t>0120</t>
  </si>
  <si>
    <t>0150</t>
  </si>
  <si>
    <t>0180</t>
  </si>
  <si>
    <t>0200</t>
  </si>
  <si>
    <t>0220</t>
  </si>
  <si>
    <t>0240</t>
  </si>
  <si>
    <t>0250</t>
  </si>
  <si>
    <t>0300</t>
  </si>
  <si>
    <t>0320</t>
  </si>
  <si>
    <t>0350</t>
  </si>
  <si>
    <t>0400</t>
  </si>
  <si>
    <t>0450</t>
  </si>
  <si>
    <t>0500</t>
  </si>
  <si>
    <t>0600</t>
  </si>
  <si>
    <t>0750</t>
  </si>
  <si>
    <t>22</t>
  </si>
  <si>
    <t>24</t>
  </si>
  <si>
    <t>Description</t>
  </si>
  <si>
    <t>2x4 Size</t>
  </si>
  <si>
    <t>2x2 Size</t>
  </si>
  <si>
    <t>Fixed Power</t>
  </si>
  <si>
    <t>Selectable Power</t>
  </si>
  <si>
    <t>Medium Voltage</t>
  </si>
  <si>
    <t>High Voltage</t>
  </si>
  <si>
    <t>Dimmable</t>
  </si>
  <si>
    <t>Non Dimmable</t>
  </si>
  <si>
    <t>Wide Distribution</t>
  </si>
  <si>
    <t>Ultra Wide Distribution</t>
  </si>
  <si>
    <t>Sosen</t>
  </si>
  <si>
    <t>Black</t>
  </si>
  <si>
    <t>White</t>
  </si>
  <si>
    <t>Gray</t>
  </si>
  <si>
    <t>Part Number Sections</t>
  </si>
  <si>
    <t>Recessed Downlight</t>
  </si>
  <si>
    <t>RDL</t>
  </si>
  <si>
    <t>Downlight</t>
  </si>
  <si>
    <t>Round Downlight</t>
  </si>
  <si>
    <t>SDL</t>
  </si>
  <si>
    <t>Square Downlight</t>
  </si>
  <si>
    <t>Recessed Downlight Slim Panel</t>
  </si>
  <si>
    <t>Recessed Specular Reflector Commercial Downlight</t>
  </si>
  <si>
    <t>Recessed Commercial Downlight</t>
  </si>
  <si>
    <t xml:space="preserve">Recessed Fire Rated Floating Gimbal Downlight </t>
  </si>
  <si>
    <t>Recessed Fire Rated Slim Panel</t>
  </si>
  <si>
    <t xml:space="preserve">Recessed Gimbal Downlight </t>
  </si>
  <si>
    <t>Recessed Architectural Spot Downlight</t>
  </si>
  <si>
    <t>UHB - UFO High Bay</t>
  </si>
  <si>
    <t>RDL - Round Downlight</t>
  </si>
  <si>
    <t>SDL - Square Downlight</t>
  </si>
  <si>
    <t>LHB - Linear High Bay</t>
  </si>
  <si>
    <t>06</t>
  </si>
  <si>
    <t>08</t>
  </si>
  <si>
    <t>12</t>
  </si>
  <si>
    <t>12 inch</t>
  </si>
  <si>
    <t>8 inch</t>
  </si>
  <si>
    <t>6 inch</t>
  </si>
  <si>
    <t>3 inch</t>
  </si>
  <si>
    <t>4 inch</t>
  </si>
  <si>
    <t>10</t>
  </si>
  <si>
    <t>10 inch</t>
  </si>
  <si>
    <t>2 inch</t>
  </si>
  <si>
    <t>00</t>
  </si>
  <si>
    <t>No Details</t>
  </si>
  <si>
    <t>0006</t>
  </si>
  <si>
    <t>0009</t>
  </si>
  <si>
    <t>CCTs</t>
  </si>
  <si>
    <t>0024</t>
  </si>
  <si>
    <t>0019</t>
  </si>
  <si>
    <t>0052</t>
  </si>
  <si>
    <t>0033</t>
  </si>
  <si>
    <t>0038</t>
  </si>
  <si>
    <t>0014</t>
  </si>
  <si>
    <t>6", Round, AC 120V, 60Hz, 0.11A, White, 12W, 2700K/3000K/3500K/4000K/5000K</t>
  </si>
  <si>
    <t>3", Round, AC 120V, 60Hz, 0.06A, White, 6W, 2700K/3000K/3500K/4000K/5000K</t>
  </si>
  <si>
    <t>4", Round, AC 120V, 60Hz, 0.08A, White, 9W, 2700K/3000K/3500K/4000K/5000K</t>
  </si>
  <si>
    <t>8", Round, AC 120V, 60Hz, 0.17A, White, 18W, 2700K/3000K/3500K/4000K/5000K</t>
  </si>
  <si>
    <t>12", Round, AC 120V, 60Hz, 0.22A, White, 24W, 2700K/3000K/3500K/4000K/5000K</t>
  </si>
  <si>
    <t>4", Square, AC 120V, 60Hz, 0.08A, White, 9W, 2700K/3000K/3500K/4000K/5000K</t>
  </si>
  <si>
    <t>6", Square, AC 120V, 60Hz, 0.11A, White, 12W, 2700K/3000K/3500K/4000K/5000K</t>
  </si>
  <si>
    <t>6", Round, Specular Reflector, AC 120-277V, 60Hz, 0.08A, White, 10W/14W/19W, 2700K/3000K/3500K/4000K/5000K</t>
  </si>
  <si>
    <t>6", Round, AC 120-277V, 60Hz, 0.09A, White, 12W/17W/22W, 2700K/3000K/3500K/4000K/5000K</t>
  </si>
  <si>
    <t>8", Round, Specular Reflector, AC 120-277V, 60Hz, 0.08A, White, 12W/18W/24W, 2700K/3000K/3500K/4000K/5000K</t>
  </si>
  <si>
    <t>8", Round, AC 120-277V, 60Hz, 0.12A, White, 17W/24W/30W, 2700K/3000K/3500K/4000K/5000K</t>
  </si>
  <si>
    <t>8", Round, AC 120-277V, 60Hz, 0.21A, White, 32W/42W/52W, 2700K/3000K/3500K/4000K/5000K</t>
  </si>
  <si>
    <t>10", Round, Specular Reflector, AC 120-277V, 60Hz, 0.13A, White, 22W/28W/33W, 2700K/3000K/3500K/4000K/5000K</t>
  </si>
  <si>
    <t>10", Round, AC 120-277V, 60Hz, 0.15A, White, 22W/30W/38W, 2700K/3000K/3500K/4000K/5000K</t>
  </si>
  <si>
    <t>4", Round, Specular Reflector, AC 120-277V, 60Hz, 0.05A, White, 6W/9W/12W, 2700K/3000K/3500K/4000K/5000K</t>
  </si>
  <si>
    <t>4", Round, AC 120-277V, 60Hz, 0.05A, White, 6W/9W/12W, 2700K/3000K/3500K/4000K/5000K</t>
  </si>
  <si>
    <t>4", Round, Fire Rated Slim Panel, AC 120V, 60Hz, 0.04A, White, 9W, 2700K/3000K/3500K/4000K/5000K</t>
  </si>
  <si>
    <t>3", Round, Fire Rated Floating Gimbal, AC 120V, 60Hz, 0.02A, White, 6W, 2700K/3000K/3500K/4000K/5000K</t>
  </si>
  <si>
    <t>4", Round, Fire Rated Floating Gimbal, AC 120V, 60Hz, 0.04A, White, 9W, 2700K/3000K/3500K/4000K/5000K</t>
  </si>
  <si>
    <t>6", Round, Fire Rated Floating Gimbal, AC 120V, 60Hz, 0.05A, White, 12W, 2700K/3000K/3500K/4000K/5000K</t>
  </si>
  <si>
    <t>4", Round, Fire Rated Slim Panel, AC 120V, 60Hz, 0.05A, White, 12W, 2700K/3000K/3500K/4000K/5000K</t>
  </si>
  <si>
    <t>6", Round, Fire Rated Slim Panel, AC 120V, 60Hz, 0.05A, White, 12W, 2700K/3000K/3500K/4000K/5000K</t>
  </si>
  <si>
    <t>6", Round, Fire Rated Slim Panel, AC 120V, 60Hz, 0.06A, White, 15W, 2700K/3000K/3500K/4000K/5000K</t>
  </si>
  <si>
    <t>6", Round, Gimbal Downlight, AC 120V, 60Hz, 0.06A, White, 14W, 2700K/3000K/3500K/4000K/5000K</t>
  </si>
  <si>
    <t>4", Round, Gimbal Downlight, AC 120V, 60Hz, 0.04A, White, 10W, 2700K/3000K/3500K/4000K/5000K</t>
  </si>
  <si>
    <t>2", Round, Architectural Spot, AC 120V, 60Hz, 0.04A, White, 9W, 2700K/3000K/3500K/4000K/5000K</t>
  </si>
  <si>
    <t>3", Round, Architectural Spot, AC 120V, 60Hz, 0.05A, White, 12W, 2700K/3000K/3500K/4000K/5000K</t>
  </si>
  <si>
    <t>6", Round, AC 120V, 60Hz, 0.14A, White, 15W, 2700K/3000K/3500K/4000K/5000K</t>
  </si>
  <si>
    <t>Strip Light</t>
  </si>
  <si>
    <t>60 LEDs, IP20, AC 120V, 60Hz, 0.67A, White, 8W, CCT Unknown</t>
  </si>
  <si>
    <t>XXK</t>
  </si>
  <si>
    <t>Strip Lights</t>
  </si>
  <si>
    <t>SLR</t>
  </si>
  <si>
    <t>Strip Light Reels</t>
  </si>
  <si>
    <t>SLR- Strip Light Reels</t>
  </si>
  <si>
    <t>IP20</t>
  </si>
  <si>
    <t>IP67</t>
  </si>
  <si>
    <t>60 LEDs</t>
  </si>
  <si>
    <t>120 LEDs</t>
  </si>
  <si>
    <t>480 LEDs</t>
  </si>
  <si>
    <t>120 LEDs, IP20, AC 120V, 60Hz, 1.00A, White, 12W, CCT Unknown</t>
  </si>
  <si>
    <t>480 LEDs, IP20, AC 120V, 60Hz, 0.84A, White, 10W, CCT Unknown</t>
  </si>
  <si>
    <t>60 LEDs, IP67, AC 120V, 60Hz, 0.67A, White, 8W, CCT Unknown</t>
  </si>
  <si>
    <t>120 LEDs, IP67, AC 120V, 60Hz, 1.00A, White, 12W, CCT Unknown</t>
  </si>
  <si>
    <t>480 LEDs, IP76, AC 120V, 60Hz, 0.84A, White, 10W, CCT Unknown</t>
  </si>
  <si>
    <t>1x4, AC 120-277V, 50/60Hz, 0.16A, White,
20W/30W/40W, 3500K/4000K/5000K</t>
  </si>
  <si>
    <t>Panel Lights</t>
  </si>
  <si>
    <t>BPL-Back-Lit Panel Light</t>
  </si>
  <si>
    <t>Version 1</t>
  </si>
  <si>
    <t>14</t>
  </si>
  <si>
    <t>1x4 Size</t>
  </si>
  <si>
    <t>Selectable</t>
  </si>
  <si>
    <t>Inventronics</t>
  </si>
  <si>
    <t>Moso</t>
  </si>
  <si>
    <t>Meanwell</t>
  </si>
  <si>
    <t>XZ-Power</t>
  </si>
  <si>
    <t>BPL</t>
  </si>
  <si>
    <t>2x2, AC 120-277V, 50/60Hz, 0.16A, White,
20W/30W/40W, 3500K/4000K/5000K</t>
  </si>
  <si>
    <t>2x4, AC 120-277V, 50/60Hz, 0.16A, White,
30W/40W/50W, 3500K/4000K/5000K</t>
  </si>
  <si>
    <t>Delphi Back-Lit Panel Light 1x4</t>
  </si>
  <si>
    <t>Delphi Back-Lit Panel Light 2x2</t>
  </si>
  <si>
    <t>Delphi Back-Lit Panel Light 2x4</t>
  </si>
  <si>
    <t>Troffers</t>
  </si>
  <si>
    <t>Delphi Architectural Troffer 1x4</t>
  </si>
  <si>
    <t>Delphi Architectural Troffer 2x2</t>
  </si>
  <si>
    <t>Delphi Architectural Troffer 2x4</t>
  </si>
  <si>
    <t>1x4, AC 120-277V, 50/60Hz, 0.12A, White,
20W/25W/30W, 3500K/4000K/5000K</t>
  </si>
  <si>
    <t>ATR</t>
  </si>
  <si>
    <t>RTR</t>
  </si>
  <si>
    <t>Simon</t>
  </si>
  <si>
    <t>ATR -  Architectural Troffer</t>
  </si>
  <si>
    <t>RTR - Retrofit Troffer</t>
  </si>
  <si>
    <t>0035</t>
  </si>
  <si>
    <t>2x2, AC 120-277V, 50/60Hz, 0.12A, White,
20W/25W/30W, 3500K/4000K/5000K</t>
  </si>
  <si>
    <t>2x4, AC 120-277V, 50/60Hz, 0.14A, White,
25W/30W/35W, 3500K/4000K/5000K</t>
  </si>
  <si>
    <t>Tube Lights</t>
  </si>
  <si>
    <t>AB</t>
  </si>
  <si>
    <t>0A - Type A</t>
  </si>
  <si>
    <t>0B - Type B</t>
  </si>
  <si>
    <t>AB - Type AB</t>
  </si>
  <si>
    <t>02-2 FT</t>
  </si>
  <si>
    <t>03-3 FT</t>
  </si>
  <si>
    <t>04-4 FT</t>
  </si>
  <si>
    <t>08-8 FT</t>
  </si>
  <si>
    <t>Fixed</t>
  </si>
  <si>
    <t>0A</t>
  </si>
  <si>
    <t>0B</t>
  </si>
  <si>
    <t>T8A</t>
  </si>
  <si>
    <t>T5A</t>
  </si>
  <si>
    <t>T8G</t>
  </si>
  <si>
    <t>T5G</t>
  </si>
  <si>
    <t>T8A - Aluminum</t>
  </si>
  <si>
    <t>T5A - Aluminum</t>
  </si>
  <si>
    <t>T8G -Glass</t>
  </si>
  <si>
    <t>Delphi Retrofit Troffer 1x4</t>
  </si>
  <si>
    <t>Delphi Retrofit Troffer 2x2</t>
  </si>
  <si>
    <t>Delphi Retrofit Troffer 2x4</t>
  </si>
  <si>
    <t>0C - Type C</t>
  </si>
  <si>
    <t>0C</t>
  </si>
  <si>
    <t>Tubes</t>
  </si>
  <si>
    <t>Clear</t>
  </si>
  <si>
    <t>Frosted</t>
  </si>
  <si>
    <t>SC- Clear</t>
  </si>
  <si>
    <t>SF- Frosted</t>
  </si>
  <si>
    <t>T5G - Glass</t>
  </si>
  <si>
    <t>Emergency Integrated</t>
  </si>
  <si>
    <t>SC</t>
  </si>
  <si>
    <t>SF</t>
  </si>
  <si>
    <t>Glass Tubes</t>
  </si>
  <si>
    <t>2', T5, Glass, Type B, AC 120-277V, 50/60Hz, White,
7W, 4000K, Frosted, Single &amp; Double Ended, PET Coating, 10 Year Warranty</t>
  </si>
  <si>
    <t>0007</t>
  </si>
  <si>
    <t>4', T5, Glass, Type B, AC 120-277V, 50/60Hz, White,
15W, 4000K, Frosted, Single &amp; Double Ended, PET Coating, 10 Year Warranty</t>
  </si>
  <si>
    <t>2', T8, Glass, Type B, AC 120-277V, 50/60Hz, White,
8W, 4000K, Frosted, Single &amp; Double Ended, PET Coating, 10 Year Warranty</t>
  </si>
  <si>
    <t>4', T5, Glass, Type B, AC 120-277V, 50/60Hz, White,
24W, 4000K, Clear, Single &amp; Double Ended, 10 Year Warranty</t>
  </si>
  <si>
    <t>3', T8, Glass, Type B, AC 120-277V, 50/60Hz, White,
12W, 4000K, Frosted, Single &amp; Double Ended, PET Coating, 10 Year Warranty</t>
  </si>
  <si>
    <t>4', T8, Glass, Type B, AC 120-277V, 50/60Hz, White,
12W, 4000K, Frosted, Single &amp; Double Ended, PET Coating, 10 Year Warranty</t>
  </si>
  <si>
    <t>4', T8, Glass, Type B, AC 120-277V, 50/60Hz, White,
18W, 4000K, Clear, Single &amp; Double Ended, 10 Year Warranty</t>
  </si>
  <si>
    <t>4', T8, Glass, Type B, AC 120-277V, 50/60Hz, White,
18W, 4000K, Frosted, Single &amp; Double Ended, PET Coating, 10 Year Warranty</t>
  </si>
  <si>
    <t>4', T8, Emergency, Aluminum +PC, Type B, AC 120-277V, 50/60Hz, White,
15W, 2.5W Emergency, 90 Minutes Backup, 9.6V 3500K/4000K/5000K, Frosted, 600mAh Lithium, 10 Year Warranty</t>
  </si>
  <si>
    <t>4', T8, Glass, Type B, AC 120-277V, 50/60Hz, White,
9W, 5000K, Frosted, Single &amp; Double Ended, PET Coating, 10 Year Warranty</t>
  </si>
  <si>
    <t>EM2- Emergency 2.5W , 90 Min Backup</t>
  </si>
  <si>
    <t>EM2</t>
  </si>
  <si>
    <t>EM5</t>
  </si>
  <si>
    <t>EM5- Emergency</t>
  </si>
  <si>
    <t>4', T8, Emergency, Aluminum +PC, Type B, AC 120-277V, 50/60Hz, White,
15W, 3500K/4000K/5000K, Frosted, 600mAh Lithium, 10 Year Warranty</t>
  </si>
  <si>
    <t>Emergency Tubes</t>
  </si>
  <si>
    <t>XZ-Power (Rlux Codes)</t>
  </si>
  <si>
    <t>Series 1</t>
  </si>
  <si>
    <t>Series 2</t>
  </si>
  <si>
    <t>Series 3</t>
  </si>
  <si>
    <t>07</t>
  </si>
  <si>
    <t>09</t>
  </si>
  <si>
    <t>1</t>
  </si>
  <si>
    <t>2</t>
  </si>
  <si>
    <t>3</t>
  </si>
  <si>
    <t>4</t>
  </si>
  <si>
    <t>5</t>
  </si>
  <si>
    <t>6</t>
  </si>
  <si>
    <t>7</t>
  </si>
  <si>
    <t>8</t>
  </si>
  <si>
    <t>9</t>
  </si>
  <si>
    <t>Linear High Bay</t>
  </si>
  <si>
    <t>Version 2</t>
  </si>
  <si>
    <t>Lifud</t>
  </si>
  <si>
    <t>LHB</t>
  </si>
  <si>
    <t>Lior Linear High Bay</t>
  </si>
  <si>
    <t>Area Light</t>
  </si>
  <si>
    <t>Areon Area Light</t>
  </si>
  <si>
    <t>AC 120-277V, 50/60Hz, 1.29A, White,
110W/165W/220W/250W/320W, 4000K/5000K</t>
  </si>
  <si>
    <t>T3</t>
  </si>
  <si>
    <t>T5</t>
  </si>
  <si>
    <t>T2</t>
  </si>
  <si>
    <t>T4</t>
  </si>
  <si>
    <t>Type III Distribution</t>
  </si>
  <si>
    <t>Type II Distribution</t>
  </si>
  <si>
    <t>Type IV Distribution</t>
  </si>
  <si>
    <t>Type V Distribution</t>
  </si>
  <si>
    <t>AC 100-277 V, 50/60Hz, 1.23 A, Bronze,
100W/150W/200W/240W/300W, 3000K/4000K/5000K, TYPE III</t>
  </si>
  <si>
    <t>ARL</t>
  </si>
  <si>
    <t>ARL- Area Light</t>
  </si>
  <si>
    <t>AC 277-480 V, 50/60Hz, 1.23 A, Bronze,
100W/150W/200W/240W/300W, 3000K/4000K/5000K, TYPE III</t>
  </si>
  <si>
    <t>WallPack</t>
  </si>
  <si>
    <t>Edin Wall Pack (Semi Cutoff)</t>
  </si>
  <si>
    <t>Semi Cutoff, AC 120-277 V, 50/60Hz, 0.50 A, Bronze,
40W/60W/80W/100W/120W, 3000K/4000K/5000K, TYPE II</t>
  </si>
  <si>
    <t>Wallpacks</t>
  </si>
  <si>
    <t>WPK</t>
  </si>
  <si>
    <t>WPK - WallPacks</t>
  </si>
  <si>
    <t>FAHOLD</t>
  </si>
  <si>
    <t>Bronze</t>
  </si>
  <si>
    <t>FC</t>
  </si>
  <si>
    <t>FC - Full Cut off</t>
  </si>
  <si>
    <t>SC - Semi Cut off</t>
  </si>
  <si>
    <t>Linear Low Bay</t>
  </si>
  <si>
    <t>AC 120-277V, 50/60Hz, 0.29A, White,
50W/60W/70W, 3000K/4000K/5000K</t>
  </si>
  <si>
    <t>LLB</t>
  </si>
  <si>
    <t>LLB -Linear Low Bay</t>
  </si>
  <si>
    <t>08- 8 FT</t>
  </si>
  <si>
    <t>Becky</t>
  </si>
  <si>
    <t>MWS</t>
  </si>
  <si>
    <t>Microwave Motion Sensor</t>
  </si>
  <si>
    <t>Apex Linear Low Bay (Integrated Microwave Motion Sensor)</t>
  </si>
  <si>
    <t>Vapor Tight Light</t>
  </si>
  <si>
    <t>VTL- Vapor Tight Light</t>
  </si>
  <si>
    <t>Nevo Vapor Tight Light 2'</t>
  </si>
  <si>
    <t>Nevo Vapor Tight Light 4'</t>
  </si>
  <si>
    <t>2FT, AC 120-277V, 50/60Hz, 0.10A, Gray,
15W/20W/25W, 3000K/4000K/5000K</t>
  </si>
  <si>
    <t>4FT, AC 120-277V, 50/60Hz, 0.15A, Gray,
20W/30W/40W, 3000K/4000K/5000K</t>
  </si>
  <si>
    <t>VTL</t>
  </si>
  <si>
    <t>Integraetd Sensor Options "Y"</t>
  </si>
  <si>
    <t>Emergency Option "X"</t>
  </si>
  <si>
    <t>AC 277-480V, 50/60Hz, 2.4A, White,
100W/150W/200W/240W, 3500K/4000K/5000K</t>
  </si>
  <si>
    <t>Genreration/Series/Varient Type</t>
  </si>
  <si>
    <t>Round Slim Panel</t>
  </si>
  <si>
    <t>Square Slim Panel</t>
  </si>
  <si>
    <t>5CCT 3Wattage Commercial Downlight</t>
  </si>
  <si>
    <t>4inch 5CCT 3Wattage Commercial Downlight</t>
  </si>
  <si>
    <t>Fire Rated Floating Gimbal</t>
  </si>
  <si>
    <t>Fire Rated LED Round Slim Panel</t>
  </si>
  <si>
    <t>Gimbal Recessed Downlight</t>
  </si>
  <si>
    <t>Architectural Square Recessed Spot Downlight</t>
  </si>
  <si>
    <t>Lens Type "L"</t>
  </si>
  <si>
    <t>Surge Protection Options  "S"</t>
  </si>
  <si>
    <t>Reflector Cover Options  "R"</t>
  </si>
  <si>
    <t>Mounting Options  "M"</t>
  </si>
  <si>
    <t>Photocontrol Options  "P"</t>
  </si>
  <si>
    <t>Connectable in Series or not Options  "C"</t>
  </si>
  <si>
    <t>l</t>
  </si>
  <si>
    <t>x</t>
  </si>
  <si>
    <t>y</t>
  </si>
  <si>
    <t>s</t>
  </si>
  <si>
    <t>r</t>
  </si>
  <si>
    <t>m</t>
  </si>
  <si>
    <t>p</t>
  </si>
  <si>
    <t>c</t>
  </si>
  <si>
    <t>10SP</t>
  </si>
  <si>
    <t>20SP</t>
  </si>
  <si>
    <t>PCR</t>
  </si>
  <si>
    <t>ALR</t>
  </si>
  <si>
    <t>EMB16</t>
  </si>
  <si>
    <t>SM</t>
  </si>
  <si>
    <t>PM</t>
  </si>
  <si>
    <t>YM</t>
  </si>
  <si>
    <t>POM</t>
  </si>
  <si>
    <t>FM</t>
  </si>
  <si>
    <t>3RP</t>
  </si>
  <si>
    <t>3NP</t>
  </si>
  <si>
    <t>5NP</t>
  </si>
  <si>
    <t>7NP</t>
  </si>
  <si>
    <t>5RP</t>
  </si>
  <si>
    <t>7RP</t>
  </si>
  <si>
    <t>SL</t>
  </si>
  <si>
    <t>Silver</t>
  </si>
  <si>
    <t>Matte</t>
  </si>
  <si>
    <t>Low Voltage (120V or below)</t>
  </si>
  <si>
    <t>High Voltage (220-480V)</t>
  </si>
  <si>
    <t>Emergency Backup 16W</t>
  </si>
  <si>
    <t>PIR Sensor</t>
  </si>
  <si>
    <t>10kW Surge Protection</t>
  </si>
  <si>
    <t>20kW Surge Protection</t>
  </si>
  <si>
    <t>Thermoplastic Reflector</t>
  </si>
  <si>
    <t>Aluminum Reflector</t>
  </si>
  <si>
    <t>Surface Mount</t>
  </si>
  <si>
    <t>Pendent Mount</t>
  </si>
  <si>
    <t>Yoke Mount</t>
  </si>
  <si>
    <t>Slip Fitter</t>
  </si>
  <si>
    <t>Pole Mount</t>
  </si>
  <si>
    <t>Flood Mount</t>
  </si>
  <si>
    <t>3 Pin Rotating Photocell</t>
  </si>
  <si>
    <t>3 Pin Non Rotating Photocell</t>
  </si>
  <si>
    <t>5 Pin Non Rotating Photocell</t>
  </si>
  <si>
    <t>7 Pin Non Rotating Photocell</t>
  </si>
  <si>
    <t>5 Pin Rotating Photocell</t>
  </si>
  <si>
    <t>7 Pin Rotating Photocell</t>
  </si>
  <si>
    <t>Connectable</t>
  </si>
  <si>
    <t>Non Connectable</t>
  </si>
  <si>
    <t>T8 U Bend Glass Tube</t>
  </si>
  <si>
    <t>T8, 2FT, U bend, Glass, Type B, AC 120-277V, 50/60Hz, White,
15W, CCt Selectable (3000 K-3500 K-4000 K-5000 K-6500 K), Frosted, Single &amp; Double Ended, PET Coating, 5 Year Warranty</t>
  </si>
  <si>
    <t>T8UBG- U Bend Glass</t>
  </si>
  <si>
    <t>T8UBG</t>
  </si>
  <si>
    <t>T8 Glass Tube</t>
  </si>
  <si>
    <t>4', T8, Glass, Type B, AC 120-277V, 50/60Hz, White,
8.9W, 4000K, Frosted,  Double Ended, 10 Year Warranty</t>
  </si>
  <si>
    <t>0008.9</t>
  </si>
  <si>
    <t>Delphi Architectural Troffer 2x2 With Emergency</t>
  </si>
  <si>
    <t>EM18</t>
  </si>
  <si>
    <t>Canopy Light</t>
  </si>
  <si>
    <t>Delphi Fuel Pump Canopy Light</t>
  </si>
  <si>
    <t>CNP</t>
  </si>
  <si>
    <t>CNP - Canopy Lights</t>
  </si>
  <si>
    <t>Fuel Pump Canopy</t>
  </si>
  <si>
    <t>Gas Station Canopy</t>
  </si>
  <si>
    <t>MS</t>
  </si>
  <si>
    <t>Medium Special Voltage (120-347V)</t>
  </si>
  <si>
    <t>Emergency Backup 18W</t>
  </si>
  <si>
    <t>Corn Lamps</t>
  </si>
  <si>
    <t>Ace Corn Bulb</t>
  </si>
  <si>
    <t>Canopy Light, Aluminum +PC, AC 120-277V, 50/60Hz, Bronze,
30W/40W50.8W, CCT Selectable 3000K/4000K/5000K, Clear, 155.6°, 5 Year Warranty</t>
  </si>
  <si>
    <t>CRL - Corn Lamps</t>
  </si>
  <si>
    <t>Varient 1</t>
  </si>
  <si>
    <t>Varient 2</t>
  </si>
  <si>
    <t>Base  "B"</t>
  </si>
  <si>
    <t>E39</t>
  </si>
  <si>
    <t>E39 Base</t>
  </si>
  <si>
    <t>Base "B"</t>
  </si>
  <si>
    <t>b</t>
  </si>
  <si>
    <t>EX39</t>
  </si>
  <si>
    <t>CRL</t>
  </si>
  <si>
    <t>0054</t>
  </si>
  <si>
    <t>Ace Corn Bulb, Aluminum +PC, AC 120-277V, 50/60Hz, White,
36W/45W/54W, CCT Selectable 3000K/4000K/5000K, Clear, 285°, E39, 5 Year Warranty</t>
  </si>
  <si>
    <t>Ace Corn Bulb, Aluminum +PC, AC 120-277V, 50/60Hz, White,
80W/100W/120W, CCT Selectable 3000K/4000K/5000K, Clear, 285°, E39, 5 Year Warranty</t>
  </si>
  <si>
    <t>6", Round, AC 120-277V, 60Hz, 0.09A, White, 12W/17W/22W, 2700K/3000K/3500K/4000K/5000K, Emergency Backup 18W</t>
  </si>
  <si>
    <t>Delphi Retrofit Troffer 2x2 With Emergency</t>
  </si>
  <si>
    <t>2x2, AC 120-277V, 50/60Hz, 0.12A, White,
20W/25W/30W, 3500K/4000K/5000K, With Emergency 18W</t>
  </si>
  <si>
    <t>4', T5, Glass, Type C, AC 120-277V, 50/60Hz, White,
15W, 4000K, Frosted, Single &amp; Double Ended, PET Coating, 5 Year Warranty</t>
  </si>
  <si>
    <t>2', T8, Glass, Type C, AC 120-277V, 50/60Hz, White,
9W, 4000K, Frosted, Single &amp; Double Ended, PET Coating, 5 Year Warranty</t>
  </si>
  <si>
    <t>Connectable in Series or not/Sets Options  "C"</t>
  </si>
  <si>
    <t>2L</t>
  </si>
  <si>
    <t>3L</t>
  </si>
  <si>
    <t>4L</t>
  </si>
  <si>
    <t>5L</t>
  </si>
  <si>
    <t>6L</t>
  </si>
  <si>
    <t>2 Lamps Sets</t>
  </si>
  <si>
    <t>3 Lamps Sets</t>
  </si>
  <si>
    <t>4 Lamps Sets</t>
  </si>
  <si>
    <t>5 Lamps Sets</t>
  </si>
  <si>
    <t>6 Lamps Sets</t>
  </si>
  <si>
    <t>XL</t>
  </si>
  <si>
    <t>Undifined Lamps Sets</t>
  </si>
  <si>
    <t>`</t>
  </si>
  <si>
    <t>0013.5</t>
  </si>
  <si>
    <t>4', T8, Glass, Type C, AC 120-277V, 50/60Hz, White,
13.5W, 4000K, Frosted, Single &amp; Double Ended, PET Coating, 5 Year Warranty</t>
  </si>
  <si>
    <t>Lineo Linear High Bay</t>
  </si>
  <si>
    <t>AC 120-277V, 50/60Hz, 0.64 A, White,
80W/110W/135W/165W, 4000K/5000K</t>
  </si>
  <si>
    <t>Series 4 - Lineo Linear High Bay</t>
  </si>
  <si>
    <t>Verison 1- Lineo Linear High Bay</t>
  </si>
  <si>
    <t>0165</t>
  </si>
  <si>
    <t>Apex Linear Low Bay</t>
  </si>
  <si>
    <t>AC 100-277 V, 50/60Hz, 1.23 A, Bronze,
70W/100W/150W, 3000K/4000K/5000K, TYPE III</t>
  </si>
  <si>
    <t>Delphi Linear Low Bay</t>
  </si>
  <si>
    <t>Series 2 - Delphi Linear Low Bay</t>
  </si>
  <si>
    <t>Series 1 - Apex Linear Low Bay</t>
  </si>
  <si>
    <t>4FT, AC 120-347V, 50/60Hz, 0.16 A, White,
30W/36W/40W/50W, 3500K/4000K/5000K</t>
  </si>
  <si>
    <t>JUSIN LE25D1S-HA</t>
  </si>
  <si>
    <t>Wrap Light</t>
  </si>
  <si>
    <t>WRL -Wrap Lights</t>
  </si>
  <si>
    <t>Orion Wraparound Light 4′</t>
  </si>
  <si>
    <t>4FT, AC 120-277V, 50/60Hz, 0.16A, White,
30W/35W/40W, 3500K/4000K/5000K</t>
  </si>
  <si>
    <t>WRL</t>
  </si>
  <si>
    <t>Delphi Wall Pack (Full Cutoff)</t>
  </si>
  <si>
    <t>Weled Power</t>
  </si>
  <si>
    <t>Full Cutoff, AC 120-347 V, 50/60Hz, 0.30 A, Bronze,
20W/30W/45W/50W, 3000K/4000K/5000K, TYPE II</t>
  </si>
  <si>
    <t>PL Lamp</t>
  </si>
  <si>
    <t>PL Lamp Type A&amp;B</t>
  </si>
  <si>
    <t>PL Lamps</t>
  </si>
  <si>
    <t>PLL- PL Lamps</t>
  </si>
  <si>
    <t>G24Q</t>
  </si>
  <si>
    <t>G24Q Base</t>
  </si>
  <si>
    <t>GX23</t>
  </si>
  <si>
    <t>GX23 Base</t>
  </si>
  <si>
    <t>PLL</t>
  </si>
  <si>
    <t>4 PIN, PL Lamp, Aluminum, G24q, GX23, AC 120-277V, 50/60Hz, White,
8W, 3000K/3500K/4000K/5000K/6500K, 360°, 5 Year Warranty</t>
  </si>
  <si>
    <t>G24</t>
  </si>
  <si>
    <t>Magnetic Strips</t>
  </si>
  <si>
    <t>Aiment Strips 2' 2 Strips</t>
  </si>
  <si>
    <t>2', 2 Stips, Aluminum, AC 120-277V, 50/60Hz, White,
15W, 3500K, 120°, 5 Year Warranty</t>
  </si>
  <si>
    <t>MGS- Magnetic Strips</t>
  </si>
  <si>
    <t>Series 1 - Aimant
Magnetic Retrofit Strip Kit</t>
  </si>
  <si>
    <t>2 Strips</t>
  </si>
  <si>
    <t>3 Strips</t>
  </si>
  <si>
    <t>4 Strips</t>
  </si>
  <si>
    <t>MGS</t>
  </si>
  <si>
    <t>23</t>
  </si>
  <si>
    <t>2FT, 2 Strips</t>
  </si>
  <si>
    <t>2FT, 3 Strips</t>
  </si>
  <si>
    <t>41</t>
  </si>
  <si>
    <t>4 FT, 1 Strips</t>
  </si>
  <si>
    <t>42</t>
  </si>
  <si>
    <t>4 FT, 2 Strips</t>
  </si>
  <si>
    <t>43</t>
  </si>
  <si>
    <t>4 FT, 3 Strips</t>
  </si>
  <si>
    <t>44</t>
  </si>
  <si>
    <t>4 FT, 4 Strips</t>
  </si>
  <si>
    <t>SLF</t>
  </si>
  <si>
    <t>Aiment Strips 2' 3 Strips</t>
  </si>
  <si>
    <t>4', 1 Stips, Aluminum, AC 120-277V, 50/60Hz, White,
15W, 3500K, 120°, 5 Year Warranty</t>
  </si>
  <si>
    <t>Aiment Strips 4' 1 Strips</t>
  </si>
  <si>
    <t>Aiment Strips 4' 3 Strips</t>
  </si>
  <si>
    <t>4', 2 Stips, Aluminum, AC 120-277V, 50/60Hz, White,
24W/30W/40W, 3500K, 120°, 5 Year Warranty</t>
  </si>
  <si>
    <t>2', 3 Stips, Aluminum, AC 120-277V, 50/60Hz, White,
30W, 3500K, 120°, 5 Year Warranty</t>
  </si>
  <si>
    <t>4', 3 Stips, Aluminum, AC 120-277V, 50/60Hz, White,
45W, 3500K, 120°, 5 Year Warranty</t>
  </si>
  <si>
    <t>0045</t>
  </si>
  <si>
    <t>Aiment Strips 4' 2 Strips Selectable</t>
  </si>
  <si>
    <t>Aiment Strips 4' 4 Strips</t>
  </si>
  <si>
    <t>4', 4 Stips, Aluminum, AC 120-277V, 50/60Hz, White,
60W, 3500K, 120°, 5 Year Warranty</t>
  </si>
  <si>
    <t>2', 2 Stips, Aluminum, AC 120-277V, 50/60Hz, White,
15W, 4000K, 120°, 5 Year Warranty</t>
  </si>
  <si>
    <t>2', 3 Stips, Aluminum, AC 120-277V, 50/60Hz, White,
30W, 4000K, 120°, 5 Year Warranty</t>
  </si>
  <si>
    <t>4', 1 Stips, Aluminum, AC 120-277V, 50/60Hz, White,
15W, 4000K, 120°, 5 Year Warranty</t>
  </si>
  <si>
    <t>4', 2 Stips, Aluminum, AC 120-277V, 50/60Hz, White,
24W/30W/40W, 4000K, 120°, 5 Year Warranty</t>
  </si>
  <si>
    <t>4', 3 Stips, Aluminum, AC 120-277V, 50/60Hz, White,
45W, 4000K, 120°, 5 Year Warranty</t>
  </si>
  <si>
    <t>4', 4 Stips, Aluminum, AC 120-277V, 50/60Hz, White,
60W, 4000K, 120°, 5 Year Warranty</t>
  </si>
  <si>
    <t>2', 2 Stips, Aluminum, AC 120-277V, 50/60Hz, White,
15W, 4500K, 120°, 5 Year Warranty</t>
  </si>
  <si>
    <t>2', 3 Stips, Aluminum, AC 120-277V, 50/60Hz, White,
30W, 4500K, 120°, 5 Year Warranty</t>
  </si>
  <si>
    <t>4', 1 Stips, Aluminum, AC 120-277V, 50/60Hz, White,
15W, 4500K, 120°, 5 Year Warranty</t>
  </si>
  <si>
    <t>4', 2 Stips, Aluminum, AC 120-277V, 50/60Hz, White,
24W/30W/40W, 4500K, 120°, 5 Year Warranty</t>
  </si>
  <si>
    <t>4', 3 Stips, Aluminum, AC 120-277V, 50/60Hz, White,
45W, 4500K, 120°, 5 Year Warranty</t>
  </si>
  <si>
    <t>4', 4 Stips, Aluminum, AC 120-277V, 50/60Hz, White,
60W, 4500K, 120°, 5 Year Warranty</t>
  </si>
  <si>
    <t>2', 2 Stips, Aluminum, AC 120-277V, 50/60Hz, White,
15W, 5000K, 120°, 5 Year Warranty</t>
  </si>
  <si>
    <t>2', 3 Stips, Aluminum, AC 120-277V, 50/60Hz, White,
30W, 5000K, 120°, 5 Year Warranty</t>
  </si>
  <si>
    <t>4', 1 Stips, Aluminum, AC 120-277V, 50/60Hz, White,
15W, 5000K, 120°, 5 Year Warranty</t>
  </si>
  <si>
    <t>4', 2 Stips, Aluminum, AC 120-277V, 50/60Hz, White,
24W/30W/40W, 5000K, 120°, 5 Year Warranty</t>
  </si>
  <si>
    <t>4', 3 Stips, Aluminum, AC 120-277V, 50/60Hz, White,
45W, 5000K, 120°, 5 Year Warranty</t>
  </si>
  <si>
    <t>4', 4 Stips, Aluminum, AC 120-277V, 50/60Hz, White,
60W, 5000K, 120°, 5 Year Warranty</t>
  </si>
  <si>
    <t>Bulbs</t>
  </si>
  <si>
    <t>BLB</t>
  </si>
  <si>
    <t>BLB - Bulbs</t>
  </si>
  <si>
    <t>A19</t>
  </si>
  <si>
    <t>A19 -  A19 Bulb</t>
  </si>
  <si>
    <t>A19 Bulb</t>
  </si>
  <si>
    <t>A19 Bulbs</t>
  </si>
  <si>
    <t>A19, Frosted, AC 120-277V, 50/60Hz, White, 8W, 4000K, Dimmable, E26 Base, 5 Years Warranty</t>
  </si>
  <si>
    <t>E26</t>
  </si>
  <si>
    <t>0013</t>
  </si>
  <si>
    <t>Vanity Light</t>
  </si>
  <si>
    <t>VNTL</t>
  </si>
  <si>
    <t>VNTL - Vanity Light</t>
  </si>
  <si>
    <t>BN</t>
  </si>
  <si>
    <t>Brushed Nickel</t>
  </si>
  <si>
    <t>2', Frosted, AC 120-277V, 50/60Hz, White, 12W, 3000K/3500K/4000K, Dimmable, Brushed Nickle, 5 Years Warranty</t>
  </si>
  <si>
    <t>Aluminum Tubes</t>
  </si>
  <si>
    <t>4', T8, Aluminum, Type A&amp;B, AC 120-277V, 50/60Hz, White,
15W, 4000K, Frosted, Single &amp; Double Ended, 5 Year Warranty</t>
  </si>
  <si>
    <t>2', T8, Aluminum, Type A&amp;B, AC 120-277V, 50/60Hz, White,
9W, 4000K, Frosted, Single &amp; Double Ended, 5 Year Warranty</t>
  </si>
  <si>
    <t>4', T8, Aluminum, Type A&amp;B, AC 120-277V, 50/60Hz, White,
13.5W, 4000K, Frosted, Single &amp; Double Ended, 5 Year Warranty</t>
  </si>
  <si>
    <t>Series 1 - Amplin Linear High Bay</t>
  </si>
  <si>
    <t xml:space="preserve">AC 120-277V, 50/60Hz, 0.64 A, White,
75W/100W/150W, 5000K, Dimmable, </t>
  </si>
  <si>
    <t>Delphi Architectural Troffer 2x4 With Emergency</t>
  </si>
  <si>
    <t>Delphi Retrofit Troffer 1x4 With Emergency</t>
  </si>
  <si>
    <t>Delphi Architectural Troffer 1x4 with Emergency</t>
  </si>
  <si>
    <t>Delphi Retrofit Troffer 2x4 With Emergency</t>
  </si>
  <si>
    <t>Linear Light</t>
  </si>
  <si>
    <t>UDLL</t>
  </si>
  <si>
    <t>UDLL- Up Down Linear Light</t>
  </si>
  <si>
    <t>Up Down Linear Light</t>
  </si>
  <si>
    <t>4', Up-Down Linear Light AC 120-277V, 50/60Hz, Black, 40/50/60W, 3500K/4000K/5000K</t>
  </si>
  <si>
    <t>Flush Mount Double Ring Light</t>
  </si>
  <si>
    <t>FML</t>
  </si>
  <si>
    <t>FML - Flush Mount Light</t>
  </si>
  <si>
    <t>Version 1 - Flush Mount Double Ring Light</t>
  </si>
  <si>
    <t>18</t>
  </si>
  <si>
    <t>18- 18 Inch</t>
  </si>
  <si>
    <t>Flush Mount Light</t>
  </si>
  <si>
    <t>18", Flush Mount Double Ring Light, AC 120V, 50/60Hz, White, 30W, 3000K</t>
  </si>
  <si>
    <t>Ace Corn Bulb, Aluminum +PC, AC 120-277V, 50/60Hz, White, Power Selectable
17W/22W/27W, CCT Selectable 3000K/4000K/5000K, Clear, 285°, E39, 5 Year Warranty</t>
  </si>
  <si>
    <t>0027</t>
  </si>
  <si>
    <t>2', T8, Aluminum, Type A&amp;B, AC 120-277V, 50/60Hz, White,
8W, 4000K, Frosted, Single &amp; Double Ended, 5 Year Warranty</t>
  </si>
  <si>
    <t>4', T5, Glass, Type A&amp;B, AC 120-277V, 50/60Hz, White,
15W, 4000K, Frosted, Single &amp; Double Ended, PET Coating, 10 Year Warranty</t>
  </si>
  <si>
    <t>8', T8, Glass, Type B, AC 120-277V, 50/60Hz, White,
42W, 4000K, Frosted,  Double Ended, 5 Year Warranty</t>
  </si>
  <si>
    <t>0042</t>
  </si>
  <si>
    <t>4', T8, Aluminum, Type B, AC 120-277V, 50/60Hz, White,
12W, 4000K, Frosted, Single &amp; Double Ended, 5 Year Warranty</t>
  </si>
  <si>
    <t>4', T8, Aluminum, Type B, AC 120-277V, 50/60Hz, White,
12W, 5000K, Frosted, Single &amp; Double Ended, 5 Year Warranty</t>
  </si>
  <si>
    <t>4', T8, Aluminum, Type B, AC 120-277V, 50/60Hz, White,
15W, 4000K, Frosted, Single &amp; Double Ended, 5 Year Warranty</t>
  </si>
  <si>
    <t>4', T8, Aluminum, Type B, AC 120-277V, 50/60Hz, White,
18W, 4000K, Frosted, Single &amp; Double Ended, 5 Year Warranty</t>
  </si>
  <si>
    <t>2', T8, Aluminum, Type B, AC 120-277V, 50/60Hz, White,
9.5W, 4000K, Frosted, Single &amp; Double Ended, 5 Year Warranty</t>
  </si>
  <si>
    <t>2', T8, Aluminum, Type B, AC 120-277V, 50/60Hz, White,
9.5W, 5000K, Frosted, Single &amp; Double Ended, 5 Year Warranty</t>
  </si>
  <si>
    <t>2', T8, Aluminum, Type B, AC 120-277V, 50/60Hz, White,
12W, 4000K, Frosted, Single &amp; Double Ended, 5 Year Warranty</t>
  </si>
  <si>
    <t>3', T8, Aluminum, Type B, AC 100-277V, 50/60Hz, White,
18W, 4000K, Frosted, Single &amp; Double Ended, 5 Year Warranty</t>
  </si>
  <si>
    <t>3', T8, Aluminum, Type B, AC 100-277V, 50/60Hz, White,
15.3W, 4000K, Frosted, Single &amp; Double Ended, 5 Year Warranty</t>
  </si>
  <si>
    <t>2', T8, Aluminum, Type B, AC 100-277V, 50/60Hz, White,
12W, 5000K, Frosted, Single &amp; Double Ended, 5 Year Warranty</t>
  </si>
  <si>
    <t>3', T8, Aluminum, Type B, AC 100-277V, 50/60Hz, White,
18W, 5000K, Frosted, Single &amp; Double Ended, 5 Year Warranty</t>
  </si>
  <si>
    <t>2', T8, Aluminum, Type B, AC 120-277V, 50/60Hz, White,
8W, 4000K, Frosted, Single &amp; Double Ended, 5 Year Warranty</t>
  </si>
  <si>
    <t xml:space="preserve">AC 120-277V, 50/60Hz, 0.64 A, White,
200/240/300W, 5000K, Dimmable, </t>
  </si>
  <si>
    <t>EM</t>
  </si>
  <si>
    <t>Emergency Driver</t>
  </si>
  <si>
    <t>EM-Emergency Driver</t>
  </si>
  <si>
    <t>Amplin Linear High Bay Gen 2</t>
  </si>
  <si>
    <t>Flood Lights</t>
  </si>
  <si>
    <t>AFL - Flood Lights</t>
  </si>
  <si>
    <t>Series 1 - Magnus Architectural Flood Lights</t>
  </si>
  <si>
    <t>Magnus Architectural Flood Lights</t>
  </si>
  <si>
    <t>AC 120-277V, 50/60Hz, 2.4A, Bronze,
100W/150W/205W, 3000K/4000K/5000K, 5 Years</t>
  </si>
  <si>
    <t>AFL</t>
  </si>
  <si>
    <t>CN</t>
  </si>
  <si>
    <t>0205</t>
  </si>
  <si>
    <t>Canolux Gas Station Canopy Light</t>
  </si>
  <si>
    <t>Delphi Wall Pack (Full Cutoff) (With Integrated Photocell)</t>
  </si>
  <si>
    <t>Full Cutoff, AC 120-347 V, 50/60Hz, 0.30 A, Bronze,
40W/60W/80W/100W, 3000K/4000K/5000K, TYPE IV, Integrated Photocell</t>
  </si>
  <si>
    <t>PC</t>
  </si>
  <si>
    <t>Photocell</t>
  </si>
  <si>
    <t>Sports Lights</t>
  </si>
  <si>
    <t>SFL -Sports Field Lights</t>
  </si>
  <si>
    <t>Series 1 - Dynamo 3 Sports Field Light</t>
  </si>
  <si>
    <t>Sports Field Lights</t>
  </si>
  <si>
    <t>Dynamo 3 Sports Field Light</t>
  </si>
  <si>
    <t>AC 100-277V, 50/60Hz, 2.17 A, Black,
600W, 5000K, 10 Years</t>
  </si>
  <si>
    <t>SFL</t>
  </si>
  <si>
    <t>Accessories</t>
  </si>
  <si>
    <t>Emergency LED Driver</t>
  </si>
  <si>
    <t>AC 100-277V, 100mA Max, 7 W Max,170 V DC,  8 W / 18 W, 90 Minute, Li-ion, 5 Years</t>
  </si>
  <si>
    <t>ACC-Accessories</t>
  </si>
  <si>
    <t>IK-ACC-EM-18170-HY</t>
  </si>
  <si>
    <t>662187479033- IKIO SKU</t>
  </si>
  <si>
    <t>AC 120-277V, 50/60Hz, 2.4A, White,
100W/150W/200W/240W, 3500K/4000K/5000K</t>
  </si>
  <si>
    <t>Series 2 -  Maximus Architectural Flood Lights</t>
  </si>
  <si>
    <t>Maximus Architectural Flood Lights</t>
  </si>
  <si>
    <t>PIR</t>
  </si>
  <si>
    <t>Photocell Sensor</t>
  </si>
  <si>
    <t>Osvin Wall Pack (Full Cutoff)</t>
  </si>
  <si>
    <t>0048</t>
  </si>
  <si>
    <t>Osvin Wall Pack (Semi Cutoff)</t>
  </si>
  <si>
    <t>Full Cutoff, AC 120-347 V, 50/60Hz, 0.30 A, Bronze,
48W,5000K, TYPE IV</t>
  </si>
  <si>
    <t>Semi Cutoff, AC 120-277 V, 50/60Hz, 0.50 A, Bronze,
48W, 5000K, TYPE IV</t>
  </si>
  <si>
    <t>Locus Area Light</t>
  </si>
  <si>
    <t>AC 100-277 V, 50/60Hz, 1.23 A, Bronze,
150W, 5000K, TYPE III</t>
  </si>
  <si>
    <t>AC 120-347V, 50/60Hz, 0.60A, Bronze,
150W, 3000K/4000K/5000K, 5 Years</t>
  </si>
  <si>
    <t>AC 120-347V, 50/60Hz, 0.85A, Bronze,
75W-100W-150W, 3000K/4000K/5000K, 5 Years</t>
  </si>
  <si>
    <t>AC 120-277V, 50/60Hz, 0.60A, Bronze,
150W, 3000K/4000K/5000K, 5 Years</t>
  </si>
  <si>
    <t>AC 120-277V, 50/60Hz, 0.06A, Bronze,
15W, 3000K/4000K/5000K, 5 Years</t>
  </si>
  <si>
    <t>AC 120-277V, 50/60Hz, 0.12A, Bronze,
30W, 3000K/4000K/5000K, 5 Years</t>
  </si>
  <si>
    <t>0055</t>
  </si>
  <si>
    <t>AC 120-277V, 50/60Hz, 0.22A, Bronze,
55W, 3000K/4000K/5000K, 5 Years</t>
  </si>
  <si>
    <t>AC 120-277V, 50/60Hz, 0.30A, Bronze,
75W, 3000K/4000K/5000K, 5 Years</t>
  </si>
  <si>
    <t>0075</t>
  </si>
  <si>
    <t>AC 120-277V, 50/60Hz, 0.40A, Bronze,
100W, 3000K/4000K/5000K, 5 Years</t>
  </si>
  <si>
    <t>AC 120-277V, 50/60Hz, 0.48A, Bronze,
120W, 3000K/4000K/5000K, 5 Years</t>
  </si>
  <si>
    <t>AC 120-347V, 50/60Hz, 0.10A, Bronze,
30W, 3000K/4000K/5000K, 5 Years</t>
  </si>
  <si>
    <t>AC 120-347V, 50/60Hz, 0.18A, Bronze,
55W, 3000K/4000K/5000K, 5 Years</t>
  </si>
  <si>
    <t>AC 120-347V, 50/60Hz, 0.24A, Bronze,
75W, 3000K/4000K/5000K, 5 Years</t>
  </si>
  <si>
    <t>AC 120-277V, 50/60Hz, 0.85A, Bronze,
75W-100W-150W, 3000K/4000K/5000K, 5 Years</t>
  </si>
  <si>
    <t>Canolux Gas Station Canopy Light, AC 120-277V, 50/60Hz, White,
100W/120W150W, CCT Selectable 4000K/5000K/5700K, Clear, 120D, 5 Year Warranty</t>
  </si>
  <si>
    <t>Canolux Gas Station Canopy Light, AC 120-277V, 50/60Hz, White,
80W/100W120W, CCT Selectable 4000K/5000K/5700K, Clear, 120D, 5 Year Warranty</t>
  </si>
  <si>
    <t>Canolux Gas Station Canopy Light, AC 120-277V, 50/60Hz, White,
120W/150W180W, CCT Selectable 4000K/5000K/5700K, Clear, 120D, 5 Year Warranty</t>
  </si>
  <si>
    <t>Delphi Gen2 Fuel Pump Canopy Light</t>
  </si>
  <si>
    <t>Delphi Gen2 Canopy Light, AC 120-277V, 50/60Hz, Bronze,
20W-40W-60W-70W-80W, CCT Selectable 3000K/4000K/5000K, Clear, 160°, 5 Year Warranty</t>
  </si>
  <si>
    <t>Delphi Architectural Troffer 2x4 With Sensor</t>
  </si>
  <si>
    <t>0036</t>
  </si>
  <si>
    <t>Delphi Architectrual Troffer 2x4 with Integrated Sensor, AC 120-277V, 50/60Hz, 0.14A, White,
36W, 4000K, With Integrated Microwave Sensor, Becky Driver</t>
  </si>
  <si>
    <t>AC 100-277 V, 50/60Hz, 1.23 A, Silver,
70W/100W/150W, 3000K/4000K/5000K, TYPE III</t>
  </si>
  <si>
    <t>AC 100-277 V, 50/60Hz, 1.23 A, Bronze,
70W/100W/150W, Fixed CCT 5000K, TYPE III</t>
  </si>
  <si>
    <t>AC 100-277 V, 50/60Hz, 1.23 A, Silver,
70W/100W/150W, Fixed CCT 5000K, TYPE III</t>
  </si>
  <si>
    <t>AC 100-277 V, 50/60Hz, 1.23 A, Bronze,
70W/100W/150W, 5000K, TYPE III</t>
  </si>
  <si>
    <t>Locus Gen2 Area Light Broze</t>
  </si>
  <si>
    <t>AC 100-277 V, 50/60Hz, 1.23 A, Silver,
70W/100W/150W, 5000K, TYPE III</t>
  </si>
  <si>
    <t>Locus Gen2 Area Light Silver</t>
  </si>
  <si>
    <t>3', T8, Aluminum, Type B, AC 100-277V, 50/60Hz, White,
12 W, 4000K, Frosted, Single &amp; Double Ended, 5 Year Warranty</t>
  </si>
  <si>
    <t>Oriled Wraparound Light 4′</t>
  </si>
  <si>
    <t>4FT, AC 120-277V, 50/60Hz, 0.08A-0.10A-0.14A-0.16A, White,
21W/26W/34W/40W, 3000K-3500K-4000K-5000K-6500K</t>
  </si>
  <si>
    <t>Moons</t>
  </si>
  <si>
    <t>Orbix Round High Bay</t>
  </si>
  <si>
    <t>RHB- Round High Bay</t>
  </si>
  <si>
    <t>RHB</t>
  </si>
  <si>
    <t>Narrow Distribution 0-90</t>
  </si>
  <si>
    <t>Wide Distribution 100-180</t>
  </si>
  <si>
    <t>Ultra Wide Distribution 180-360</t>
  </si>
  <si>
    <t>Orbix Round High Bay High Temperature, AC 120-277V, 50/60Hz, 0.88A, Black, 220W, 5000K, 120D, Moons Driver, BAA</t>
  </si>
  <si>
    <t>4', T8, Aluminum, Type B, AC 120-277V, 50/60Hz, White,
12W, 3500K, Frosted, Single &amp; Double Ended, 5 Year Warranty</t>
  </si>
  <si>
    <t>Semi-Cutoff Wall Pack</t>
  </si>
  <si>
    <t>Internal Notes</t>
  </si>
  <si>
    <t>Billda Driver</t>
  </si>
  <si>
    <t>Full-Cutoff Wall Pack</t>
  </si>
  <si>
    <t>RZ Product- New Series WP09A (Series 4 "IK-WPKXX-04" will be for RZ Lighting Product for all Type) This is Against Product Code - WP09A-10-40Z-AD4C3-F</t>
  </si>
  <si>
    <t>RZ Product- New Series WP09A (Series 4 "IK-WPKXX-04" will be for RZ Lighting Product for all Type) This is Against Product Code - WP09A-14-80Z-AD4C3-F</t>
  </si>
  <si>
    <t>RZ Product- New Series WP09A (Series 4 "IK-WPKXX-04" will be for RZ Lighting Product for all Type) This is Against Product Code - WP09A-18-150Z-AD4C3-F</t>
  </si>
  <si>
    <t>RZ Product- New Series WP10A (Series 4 "IK-WPKXX-04" will be for RZ Lighting Product for all Type) This is Against Product Code - WP10A-9-80Z-AD4C3</t>
  </si>
  <si>
    <t>Streamer</t>
  </si>
  <si>
    <t>Full Cutoff, Size-9", AC 120-277 V, 50/60Hz, 0.XX A, Bronze,
40W/50W/60W/80W, 3000K/4000K/5000K, TYPE III, Streamer Driver</t>
  </si>
  <si>
    <t>Semi Cutoff, Size-10", AC 120-277 V, 50/60Hz, 0.XX A, Bronze,
15W/20W/30W/40W, 3000K/4000K/5000K, TYPE IV, Billda Driver</t>
  </si>
  <si>
    <t>Semi Cutoff, Size-18", AC 120-277 V, 50/60Hz, 0.XX A, Bronze,
80W/100W/120W/150W, 3000K/4000K/5000K, TYPE IV, Billda Driver</t>
  </si>
  <si>
    <t>Semi Cutoff, Size-14", AC 120-277 V, 50/60Hz, 0.XX A, Bronze,
40W/50W/60W/80W, 3000K/4000K/5000K, TYPE IV, Billda Driver</t>
  </si>
  <si>
    <t>Full Cutoff, Size-11", AC 120-277 V, 50/60Hz, 0.XX A, Bronze,
60W/90W/100W/120W, 3000K/4000K/5000K, TYPE III, Streamer Driver</t>
  </si>
  <si>
    <t>RZ Product- New Series WP10A (Series 4 "IK-WPKXX-04" will be for RZ Lighting Product for all Type) This is Against Product Code - WP10A-11-120Z-AD4C3</t>
  </si>
  <si>
    <t>RZ Product- New Series WP28 (Series 5 "IK-WPKXX-05" will be for RZ Lighting Product for all Type) This is Against Product Code - WP28-10-80Z-AD4C3</t>
  </si>
  <si>
    <t>Full Cutoff Series 5 WP28, Size-10", AC 120-277 V, 50/60Hz, 0.XX A, Bronze,
40W/50W/60W/80W, 3000K/4000K/5000K, TYPE III, Billda Driver</t>
  </si>
  <si>
    <t>Full Cutoff Series 5 WP28, Size-14", AC 120-277 V, 50/60Hz, 0.XX A, Bronze,
60W/90W/100W/120W, 3000K/4000K/5000K, TYPE III, Billda Driver</t>
  </si>
  <si>
    <t>RZ Product- New Series WP28 (Series 5 "IK-WPKXX-05" will be for RZ Lighting Product for all Type) This is Against Product Code - WP28-14-120Z-AD4C3</t>
  </si>
  <si>
    <t>Architectural Wall Pack Trapezoid, WP33T, Size-13", AC 120-277 V, 50/60Hz, 0.XX A, Bronze,
15W/20W/30W/40W, 3000K/4000K/5000K, TYPE III, Billda Driver</t>
  </si>
  <si>
    <t>RZ Product- New Series WP33T (Series 4 "IK-WPKXX-04" will be for RZ Lighting Product for all Type) This is Against Product Code - WP33T-13-40Z-AD4C3</t>
  </si>
  <si>
    <t>AT</t>
  </si>
  <si>
    <t>AT-Architectural</t>
  </si>
  <si>
    <t>AT-Architectural Standard</t>
  </si>
  <si>
    <t>ATT</t>
  </si>
  <si>
    <t>ATQ</t>
  </si>
  <si>
    <t>ATR-Architectural (Radius)</t>
  </si>
  <si>
    <t>ATQ-Architectural (Quartersphere)</t>
  </si>
  <si>
    <t>ATT-Architectural (Trapezoid)</t>
  </si>
  <si>
    <t>Architectural Wall Pack (Trapezoid)</t>
  </si>
  <si>
    <t>Architectural Wall Pack Trapezoid, WP33T, Size-13", AC 120-277 V, 50/60Hz, 0.XX A, Bronze,
40W/50W/60W/80W, 3000K/4000K/5000K, TYPE III, Billda Driver</t>
  </si>
  <si>
    <t>RZ Product- New Series WP33T (Series 4 "IK-WPKXX-04" will be for RZ Lighting Product for all Type) This is Against Product Code - WP33T-13-80Z-AD4C3</t>
  </si>
  <si>
    <t>RZ Product- New Series WP33T (Series 4 "IK-WPKXX-04" will be for RZ Lighting Product for all Type) This is Against Product Code - WP33T-13-120Z-AD4C3</t>
  </si>
  <si>
    <t>Architectural Wall Pack Trapezoid, WP33T, Size-13", AC 120-277 V, 50/60Hz, 0.XX A, Bronze,
60W/90W/100W/120W, 3000K/4000K/5000K, TYPE III, Billda Driver</t>
  </si>
  <si>
    <t>Architectural Wall Pack (Radius)</t>
  </si>
  <si>
    <t>Architectural Wall Pack Radius, WP33T, Size-13", AC 120-277 V, 50/60Hz, 0.XX A, Bronze,
15W/20W/30W/40W, 3000K/4000K/5000K, TYPE III, Billda Driver</t>
  </si>
  <si>
    <t>Architectural Wall Pack Radius, WP33T, Size-13", AC 120-277 V, 50/60Hz, 0.XX A, Bronze,
40W/50W/60W/80W, 3000K/4000K/5000K, TYPE III, Billda Driver</t>
  </si>
  <si>
    <t>Architectural Wall Pack Radius, WP33T, Size-13", AC 120-277 V, 50/60Hz, 0.XX A, Bronze,
60W/90W/100W/120W, 3000K/4000K/5000K, TYPE III, Billda Driver</t>
  </si>
  <si>
    <t>RZ Product- New Series WP33R (Series 4 "IK-WPKXX-04" will be for RZ Lighting Product for all Type) This is Against Product Code - WP33R-13-40Z-AD4C3</t>
  </si>
  <si>
    <t>RZ Product- New Series WP33R (Series 4 "IK-WPKXX-04" will be for RZ Lighting Product for all Type) This is Against Product Code - WP33R-13-80Z-AD4C3</t>
  </si>
  <si>
    <t>RZ Product- New Series WP33R (Series 4 "IK-WPKXX-04" will be for RZ Lighting Product for all Type) This is Against Product Code - WP33R-13-120Z-AD4C3</t>
  </si>
  <si>
    <t>Architectural Wall Pack (Quartersphere)</t>
  </si>
  <si>
    <t>Architectural Wall Pack Quartersphere, WP33T, Size-13", AC 120-277 V, 50/60Hz, 0.XX A, Bronze,
15W/20W/30W/40W, 3000K/4000K/5000K, TYPE III, Billda Driver</t>
  </si>
  <si>
    <t>Architectural Wall Pack Quartersphere, WP33T, Size-13", AC 120-277 V, 50/60Hz, 0.XX A, Bronze,
40W/50W/60W/80W, 3000K/4000K/5000K, TYPE III, Billda Driver</t>
  </si>
  <si>
    <t>Architectural Wall Pack Quartersphere, WP33T, Size-13", AC 120-277 V, 50/60Hz, 0.XX A, Bronze,
60W/90W/100W/120W, 3000K/4000K/5000K, TYPE III, Billda Driver</t>
  </si>
  <si>
    <t>RZ Product- New Series WP33Q (Series 4 "IK-WPKXX-04" will be for RZ Lighting Product for all Type) This is Against Product Code - WP33Q-13-40Z-AD4C3</t>
  </si>
  <si>
    <t>RZ Product- New Series WP33Q (Series 4 "IK-WPKXX-04" will be for RZ Lighting Product for all Type) This is Against Product Code - WP33Q-13-80Z-AD4C3</t>
  </si>
  <si>
    <t>RZ Product- New Series WP33Q (Series 4 "IK-WPKXX-04" will be for RZ Lighting Product for all Type) This is Against Product Code - WP33Q-13-120Z-AD4C3</t>
  </si>
  <si>
    <t>ADJ</t>
  </si>
  <si>
    <t>ADJ-Adjustable</t>
  </si>
  <si>
    <t>Adjustable Wall Pack</t>
  </si>
  <si>
    <t>Adjustable Series 4 WP30, Size-8", AC 120-277 V, 50/60Hz, 0.XX A, Bronze,
40W/50W/60W/80W, 3000K/4000K/5000K, TYPE III, Billda Driver</t>
  </si>
  <si>
    <t>Adjustable Series 4 WP30, Size-10", AC 120-277 V, 50/60Hz, 0.XX A, Bronze,
60W/90W/100W/120W, 3000K/4000K/5000K, TYPE III, Billda Driver</t>
  </si>
  <si>
    <t>RZ Product- New Series WP30 (Series 4 "IK-WPKXX-04" will be for RZ Lighting Product for all Type) This is Against Product Code - WP30-8-80Z-AD4C3</t>
  </si>
  <si>
    <t>RZ Product- New Series WP30 (Series 4 "IK-WPKXX-04" will be for RZ Lighting Product for all Type) This is Against Product Code - WP30-10-120Z-AD4C3</t>
  </si>
  <si>
    <t>Adjustable Mini Wall Pack</t>
  </si>
  <si>
    <t>RZ Product- New Series Mini Wall Pack WP20 (Series 6 "IK-WPKXX-06" will be for RZ Lighting Product for all Type) This is Against Product Code - WP20-30L-X-YY</t>
  </si>
  <si>
    <t>Adjustable Mini Wall Pack Series 4 WP30, AC 120-277 V, 50/60Hz, 0.XX A, Bronze,
15W/20W/30W, 3000K/5000K/6500K, Beam Angle-100 Degree, Billda Driver</t>
  </si>
  <si>
    <t>FN</t>
  </si>
  <si>
    <t>Finish Blank</t>
  </si>
  <si>
    <t xml:space="preserve">Series 4 is Centaurus </t>
  </si>
  <si>
    <t xml:space="preserve">PowerBay Round High Bay		</t>
  </si>
  <si>
    <t>Rlux Model (CENTAURUS Series)</t>
  </si>
  <si>
    <t>Medium Voltage (120-277V) or (100-277V)</t>
  </si>
  <si>
    <t>AC 100-277V, 50/60Hz, 675 mA, Black, 80W/120W/150W,
3500K/4000K/5000K</t>
  </si>
  <si>
    <t>AC 100-277V, 50/60Hz, 1080 mA, Black, 150W/200W/240W,
3500K/4000K/5000K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</si>
</sst>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rial"/>
      <family val="2"/>
    </font>
    <font>
      <b/>
      <sz val="14"/>
      <color theme="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ptos Narrow"/>
      <family val="2"/>
      <scheme val="minor"/>
    </font>
    <font>
      <sz val="10"/>
      <color theme="1"/>
      <name val="Aptos"/>
      <family val="2"/>
    </font>
    <font>
      <sz val="12"/>
      <color rgb="FF000000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5">
    <xf numFmtId="0" fontId="0" fillId="0" borderId="0" xfId="0"/>
    <xf numFmtId="0" fontId="4" fillId="0" borderId="0" xfId="0" applyFont="1"/>
    <xf numFmtId="0" fontId="4" fillId="4" borderId="0" xfId="0" applyFont="1" applyFill="1" applyAlignment="1">
      <alignment horizontal="left" vertical="center"/>
    </xf>
    <xf numFmtId="1" fontId="4" fillId="4" borderId="0" xfId="0" applyNumberFormat="1" applyFont="1" applyFill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left" vertical="center"/>
    </xf>
    <xf numFmtId="1" fontId="4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49" fontId="4" fillId="0" borderId="0" xfId="1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49" fontId="7" fillId="0" borderId="3" xfId="0" applyNumberFormat="1" applyFont="1" applyBorder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49" fontId="7" fillId="0" borderId="5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center"/>
    </xf>
    <xf numFmtId="0" fontId="5" fillId="2" borderId="1" xfId="0" applyFont="1" applyFill="1" applyBorder="1"/>
    <xf numFmtId="49" fontId="5" fillId="0" borderId="0" xfId="0" applyNumberFormat="1" applyFont="1" applyAlignment="1">
      <alignment horizontal="center"/>
    </xf>
    <xf numFmtId="1" fontId="4" fillId="4" borderId="0" xfId="0" applyNumberFormat="1" applyFont="1" applyFill="1" applyAlignment="1">
      <alignment horizontal="left" vertical="center" wrapText="1"/>
    </xf>
    <xf numFmtId="0" fontId="5" fillId="2" borderId="8" xfId="0" applyFont="1" applyFill="1" applyBorder="1" applyAlignment="1">
      <alignment horizontal="left" vertical="center"/>
    </xf>
    <xf numFmtId="0" fontId="5" fillId="2" borderId="9" xfId="0" applyFont="1" applyFill="1" applyBorder="1" applyAlignment="1">
      <alignment horizontal="left" vertical="center"/>
    </xf>
    <xf numFmtId="1" fontId="5" fillId="2" borderId="9" xfId="0" applyNumberFormat="1" applyFont="1" applyFill="1" applyBorder="1" applyAlignment="1">
      <alignment horizontal="left" vertical="center"/>
    </xf>
    <xf numFmtId="1" fontId="5" fillId="2" borderId="9" xfId="0" applyNumberFormat="1" applyFont="1" applyFill="1" applyBorder="1" applyAlignment="1">
      <alignment horizontal="left" vertical="center" wrapText="1"/>
    </xf>
    <xf numFmtId="0" fontId="5" fillId="6" borderId="9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/>
    </xf>
    <xf numFmtId="0" fontId="7" fillId="0" borderId="5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49" fontId="7" fillId="0" borderId="0" xfId="0" applyNumberFormat="1" applyFont="1" applyAlignment="1">
      <alignment horizontal="left" vertical="center"/>
    </xf>
    <xf numFmtId="49" fontId="7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49" fontId="7" fillId="0" borderId="3" xfId="0" applyNumberFormat="1" applyFont="1" applyBorder="1" applyAlignment="1">
      <alignment horizontal="left" vertical="center"/>
    </xf>
    <xf numFmtId="0" fontId="8" fillId="0" borderId="12" xfId="0" applyFont="1" applyBorder="1"/>
    <xf numFmtId="0" fontId="8" fillId="0" borderId="13" xfId="0" applyFont="1" applyBorder="1"/>
    <xf numFmtId="0" fontId="7" fillId="0" borderId="12" xfId="0" applyFont="1" applyBorder="1"/>
    <xf numFmtId="0" fontId="7" fillId="0" borderId="12" xfId="0" applyFont="1" applyBorder="1" applyAlignment="1">
      <alignment horizontal="left" vertical="center"/>
    </xf>
    <xf numFmtId="0" fontId="7" fillId="0" borderId="12" xfId="0" applyFont="1" applyBorder="1" applyAlignment="1">
      <alignment horizontal="left"/>
    </xf>
    <xf numFmtId="0" fontId="7" fillId="0" borderId="13" xfId="0" applyFont="1" applyBorder="1"/>
    <xf numFmtId="0" fontId="7" fillId="0" borderId="12" xfId="0" applyFont="1" applyBorder="1" applyAlignment="1">
      <alignment horizontal="center"/>
    </xf>
    <xf numFmtId="0" fontId="8" fillId="0" borderId="14" xfId="0" applyFont="1" applyBorder="1"/>
    <xf numFmtId="49" fontId="7" fillId="0" borderId="15" xfId="0" applyNumberFormat="1" applyFont="1" applyBorder="1" applyAlignment="1">
      <alignment horizontal="left" vertical="center"/>
    </xf>
    <xf numFmtId="49" fontId="7" fillId="0" borderId="14" xfId="0" applyNumberFormat="1" applyFont="1" applyBorder="1" applyAlignment="1">
      <alignment horizontal="left" vertical="center"/>
    </xf>
    <xf numFmtId="49" fontId="7" fillId="0" borderId="16" xfId="0" applyNumberFormat="1" applyFont="1" applyBorder="1" applyAlignment="1">
      <alignment horizontal="left" vertical="center"/>
    </xf>
    <xf numFmtId="0" fontId="7" fillId="0" borderId="15" xfId="0" applyFont="1" applyBorder="1" applyAlignment="1">
      <alignment horizontal="left"/>
    </xf>
    <xf numFmtId="0" fontId="7" fillId="0" borderId="14" xfId="0" applyFont="1" applyBorder="1" applyAlignment="1">
      <alignment horizontal="left"/>
    </xf>
    <xf numFmtId="0" fontId="7" fillId="0" borderId="16" xfId="0" applyFont="1" applyBorder="1" applyAlignment="1">
      <alignment horizontal="left"/>
    </xf>
    <xf numFmtId="0" fontId="7" fillId="0" borderId="14" xfId="0" applyFont="1" applyBorder="1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7" fillId="0" borderId="3" xfId="0" applyFont="1" applyBorder="1"/>
    <xf numFmtId="0" fontId="7" fillId="0" borderId="5" xfId="0" applyFont="1" applyBorder="1"/>
    <xf numFmtId="0" fontId="7" fillId="0" borderId="18" xfId="0" applyFont="1" applyBorder="1"/>
    <xf numFmtId="0" fontId="8" fillId="0" borderId="18" xfId="0" applyFont="1" applyBorder="1"/>
    <xf numFmtId="0" fontId="9" fillId="0" borderId="0" xfId="0" applyFont="1"/>
    <xf numFmtId="0" fontId="4" fillId="7" borderId="0" xfId="0" applyFont="1" applyFill="1" applyAlignment="1">
      <alignment horizontal="left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wrapText="1"/>
    </xf>
    <xf numFmtId="1" fontId="4" fillId="7" borderId="0" xfId="0" applyNumberFormat="1" applyFont="1" applyFill="1" applyAlignment="1">
      <alignment horizontal="left" vertical="center"/>
    </xf>
    <xf numFmtId="1" fontId="10" fillId="0" borderId="0" xfId="0" applyNumberFormat="1" applyFont="1" applyAlignment="1">
      <alignment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CF612-3D7D-490B-A72D-7D4D5F0C4DD8}">
  <dimension ref="A1:V62"/>
  <sheetViews>
    <sheetView zoomScaleNormal="100" workbookViewId="0">
      <selection activeCell="E28" sqref="E28"/>
    </sheetView>
  </sheetViews>
  <sheetFormatPr defaultColWidth="8.81640625" defaultRowHeight="14" x14ac:dyDescent="0.3"/>
  <cols>
    <col min="1" max="1" width="14.7265625" style="1" bestFit="1" customWidth="1"/>
    <col min="2" max="2" width="19.54296875" style="1" bestFit="1" customWidth="1"/>
    <col min="3" max="3" width="20.54296875" style="1" bestFit="1" customWidth="1"/>
    <col min="4" max="4" width="17" style="1" bestFit="1" customWidth="1"/>
    <col min="5" max="5" width="28.7265625" style="1" bestFit="1" customWidth="1"/>
    <col min="6" max="6" width="22.453125" style="12" bestFit="1" customWidth="1"/>
    <col min="7" max="7" width="19.7265625" style="1" bestFit="1" customWidth="1"/>
    <col min="8" max="8" width="14.26953125" style="1" bestFit="1" customWidth="1"/>
    <col min="9" max="9" width="10.7265625" style="1" bestFit="1" customWidth="1"/>
    <col min="10" max="10" width="22.26953125" style="1" bestFit="1" customWidth="1"/>
    <col min="11" max="11" width="11.453125" style="1" bestFit="1" customWidth="1"/>
    <col min="12" max="12" width="11.26953125" style="1" bestFit="1" customWidth="1"/>
    <col min="13" max="13" width="18.26953125" style="1" bestFit="1" customWidth="1"/>
    <col min="14" max="14" width="18" style="13" bestFit="1" customWidth="1"/>
    <col min="15" max="15" width="26.54296875" style="13" bestFit="1" customWidth="1"/>
    <col min="16" max="16" width="34.54296875" style="13" bestFit="1" customWidth="1"/>
    <col min="17" max="17" width="34.1796875" style="13" bestFit="1" customWidth="1"/>
    <col min="18" max="18" width="29.81640625" style="13" bestFit="1" customWidth="1"/>
    <col min="19" max="19" width="23.7265625" style="13" bestFit="1" customWidth="1"/>
    <col min="20" max="20" width="27.26953125" style="13" bestFit="1" customWidth="1"/>
    <col min="21" max="21" width="46.1796875" style="13" customWidth="1"/>
    <col min="22" max="16384" width="8.81640625" style="1"/>
  </cols>
  <sheetData>
    <row r="1" spans="1:22" x14ac:dyDescent="0.3">
      <c r="A1" s="11" t="s">
        <v>6</v>
      </c>
      <c r="B1" s="11" t="s">
        <v>23</v>
      </c>
      <c r="C1" s="11" t="s">
        <v>24</v>
      </c>
      <c r="D1" s="11" t="s">
        <v>16</v>
      </c>
      <c r="E1" s="11" t="s">
        <v>19</v>
      </c>
      <c r="F1" s="25" t="s">
        <v>20</v>
      </c>
      <c r="G1" s="11" t="s">
        <v>17</v>
      </c>
      <c r="H1" s="11" t="s">
        <v>18</v>
      </c>
      <c r="I1" s="11" t="s">
        <v>138</v>
      </c>
      <c r="J1" s="11" t="s">
        <v>25</v>
      </c>
      <c r="K1" s="11" t="s">
        <v>26</v>
      </c>
      <c r="L1" s="11" t="s">
        <v>28</v>
      </c>
      <c r="M1" s="11" t="s">
        <v>29</v>
      </c>
      <c r="N1" s="60" t="s">
        <v>345</v>
      </c>
      <c r="O1" s="60" t="s">
        <v>334</v>
      </c>
      <c r="P1" s="60" t="s">
        <v>333</v>
      </c>
      <c r="Q1" s="60" t="s">
        <v>346</v>
      </c>
      <c r="R1" s="60" t="s">
        <v>347</v>
      </c>
      <c r="S1" s="60" t="s">
        <v>348</v>
      </c>
      <c r="T1" s="60" t="s">
        <v>349</v>
      </c>
      <c r="U1" s="60" t="s">
        <v>439</v>
      </c>
      <c r="V1" s="60" t="s">
        <v>427</v>
      </c>
    </row>
    <row r="2" spans="1:22" x14ac:dyDescent="0.3">
      <c r="A2" s="8" t="s">
        <v>8</v>
      </c>
      <c r="B2" s="8" t="s">
        <v>22</v>
      </c>
      <c r="C2" s="8">
        <v>1</v>
      </c>
      <c r="D2" s="10" t="s">
        <v>27</v>
      </c>
      <c r="E2" s="8" t="s">
        <v>35</v>
      </c>
      <c r="F2" s="12" t="s">
        <v>54</v>
      </c>
      <c r="G2" s="8" t="s">
        <v>36</v>
      </c>
      <c r="H2" s="8" t="s">
        <v>11</v>
      </c>
      <c r="I2" s="8" t="s">
        <v>12</v>
      </c>
      <c r="J2" s="8" t="s">
        <v>47</v>
      </c>
      <c r="K2" s="10" t="s">
        <v>134</v>
      </c>
      <c r="L2" s="8" t="s">
        <v>14</v>
      </c>
      <c r="M2" s="8" t="s">
        <v>15</v>
      </c>
      <c r="N2" s="13" t="s">
        <v>351</v>
      </c>
      <c r="O2" s="13" t="s">
        <v>352</v>
      </c>
      <c r="P2" s="13" t="s">
        <v>353</v>
      </c>
      <c r="Q2" s="13" t="s">
        <v>354</v>
      </c>
      <c r="R2" s="13" t="s">
        <v>355</v>
      </c>
      <c r="S2" s="13" t="s">
        <v>356</v>
      </c>
      <c r="T2" s="13" t="s">
        <v>357</v>
      </c>
      <c r="U2" s="13" t="s">
        <v>358</v>
      </c>
      <c r="V2" s="1" t="s">
        <v>428</v>
      </c>
    </row>
    <row r="3" spans="1:22" x14ac:dyDescent="0.3">
      <c r="A3" s="8"/>
      <c r="B3" s="8" t="s">
        <v>672</v>
      </c>
      <c r="C3" s="8">
        <v>2</v>
      </c>
      <c r="D3" s="10" t="s">
        <v>9</v>
      </c>
      <c r="E3" s="8" t="s">
        <v>21</v>
      </c>
      <c r="F3" s="12" t="s">
        <v>55</v>
      </c>
      <c r="G3" s="8" t="s">
        <v>10</v>
      </c>
      <c r="H3" s="8" t="s">
        <v>38</v>
      </c>
      <c r="I3" s="8" t="s">
        <v>39</v>
      </c>
      <c r="J3" s="8" t="s">
        <v>13</v>
      </c>
      <c r="K3" s="10" t="s">
        <v>27</v>
      </c>
      <c r="L3" s="8" t="s">
        <v>49</v>
      </c>
      <c r="M3" s="8"/>
      <c r="N3" s="13" t="s">
        <v>251</v>
      </c>
      <c r="O3" s="13" t="s">
        <v>594</v>
      </c>
      <c r="P3" s="13" t="s">
        <v>323</v>
      </c>
      <c r="Q3" s="13" t="s">
        <v>359</v>
      </c>
      <c r="R3" s="13" t="s">
        <v>361</v>
      </c>
      <c r="S3" s="13" t="s">
        <v>364</v>
      </c>
      <c r="T3" s="13" t="s">
        <v>369</v>
      </c>
      <c r="U3" s="13" t="s">
        <v>604</v>
      </c>
      <c r="V3" s="1" t="s">
        <v>425</v>
      </c>
    </row>
    <row r="4" spans="1:22" x14ac:dyDescent="0.3">
      <c r="A4" s="8"/>
      <c r="B4" s="8" t="s">
        <v>289</v>
      </c>
      <c r="C4" s="8">
        <v>3</v>
      </c>
      <c r="D4" s="10" t="s">
        <v>34</v>
      </c>
      <c r="E4" s="8"/>
      <c r="F4" s="12" t="s">
        <v>136</v>
      </c>
      <c r="G4" s="8" t="s">
        <v>37</v>
      </c>
      <c r="H4" s="8"/>
      <c r="I4" s="8" t="s">
        <v>40</v>
      </c>
      <c r="J4" s="8" t="s">
        <v>48</v>
      </c>
      <c r="K4" s="10" t="s">
        <v>9</v>
      </c>
      <c r="L4" s="8" t="s">
        <v>50</v>
      </c>
      <c r="M4" s="8"/>
      <c r="N4" s="13" t="s">
        <v>252</v>
      </c>
      <c r="O4" s="13" t="s">
        <v>266</v>
      </c>
      <c r="P4" s="13" t="s">
        <v>627</v>
      </c>
      <c r="Q4" s="13" t="s">
        <v>360</v>
      </c>
      <c r="R4" s="13" t="s">
        <v>362</v>
      </c>
      <c r="S4" s="13" t="s">
        <v>365</v>
      </c>
      <c r="T4" s="13" t="s">
        <v>370</v>
      </c>
      <c r="U4" s="13" t="s">
        <v>38</v>
      </c>
      <c r="V4" s="1" t="s">
        <v>429</v>
      </c>
    </row>
    <row r="5" spans="1:22" ht="14.5" x14ac:dyDescent="0.3">
      <c r="A5" s="8"/>
      <c r="B5" s="8" t="s">
        <v>319</v>
      </c>
      <c r="C5" s="8">
        <v>4</v>
      </c>
      <c r="D5" s="10" t="s">
        <v>32</v>
      </c>
      <c r="E5" s="8"/>
      <c r="F5" s="12" t="s">
        <v>255</v>
      </c>
      <c r="G5" s="8" t="s">
        <v>415</v>
      </c>
      <c r="H5" s="8"/>
      <c r="I5" s="8" t="s">
        <v>41</v>
      </c>
      <c r="J5" s="8" t="s">
        <v>296</v>
      </c>
      <c r="K5" s="10" t="s">
        <v>34</v>
      </c>
      <c r="L5" s="8" t="s">
        <v>51</v>
      </c>
      <c r="M5" s="8"/>
      <c r="N5" s="13" t="s">
        <v>364</v>
      </c>
      <c r="O5" s="13" t="s">
        <v>267</v>
      </c>
      <c r="P5" s="13" t="s">
        <v>609</v>
      </c>
      <c r="S5" s="13" t="s">
        <v>366</v>
      </c>
      <c r="T5" s="13" t="s">
        <v>373</v>
      </c>
      <c r="U5" s="67" t="s">
        <v>450</v>
      </c>
      <c r="V5" s="15" t="s">
        <v>485</v>
      </c>
    </row>
    <row r="6" spans="1:22" ht="14.5" x14ac:dyDescent="0.3">
      <c r="A6" s="8"/>
      <c r="B6" s="8" t="s">
        <v>332</v>
      </c>
      <c r="C6" s="8">
        <v>5</v>
      </c>
      <c r="D6" s="10" t="s">
        <v>33</v>
      </c>
      <c r="E6" s="8"/>
      <c r="F6" s="12" t="s">
        <v>56</v>
      </c>
      <c r="G6" s="8"/>
      <c r="H6" s="8"/>
      <c r="I6" s="8" t="s">
        <v>42</v>
      </c>
      <c r="J6" s="8" t="s">
        <v>294</v>
      </c>
      <c r="K6" s="10" t="s">
        <v>32</v>
      </c>
      <c r="L6" s="8" t="s">
        <v>375</v>
      </c>
      <c r="M6" s="8"/>
      <c r="O6" s="13" t="s">
        <v>363</v>
      </c>
      <c r="S6" s="13" t="s">
        <v>506</v>
      </c>
      <c r="T6" s="13" t="s">
        <v>371</v>
      </c>
      <c r="U6" s="67" t="s">
        <v>440</v>
      </c>
      <c r="V6" s="15" t="s">
        <v>481</v>
      </c>
    </row>
    <row r="7" spans="1:22" ht="14.5" x14ac:dyDescent="0.3">
      <c r="A7" s="8"/>
      <c r="B7" s="8" t="s">
        <v>303</v>
      </c>
      <c r="C7" s="8">
        <v>6</v>
      </c>
      <c r="D7" s="10" t="s">
        <v>123</v>
      </c>
      <c r="E7" s="8"/>
      <c r="F7" s="12" t="s">
        <v>406</v>
      </c>
      <c r="G7" s="8"/>
      <c r="H7" s="8"/>
      <c r="I7" s="8" t="s">
        <v>43</v>
      </c>
      <c r="J7" s="8" t="s">
        <v>297</v>
      </c>
      <c r="K7" s="10" t="s">
        <v>33</v>
      </c>
      <c r="L7" s="8" t="s">
        <v>549</v>
      </c>
      <c r="M7" s="8"/>
      <c r="O7" s="13" t="s">
        <v>408</v>
      </c>
      <c r="S7" s="13" t="s">
        <v>367</v>
      </c>
      <c r="T7" s="13" t="s">
        <v>374</v>
      </c>
      <c r="U7" s="67" t="s">
        <v>441</v>
      </c>
      <c r="V7" s="1" t="s">
        <v>544</v>
      </c>
    </row>
    <row r="8" spans="1:22" ht="14.5" x14ac:dyDescent="0.3">
      <c r="A8" s="8"/>
      <c r="B8" s="13" t="s">
        <v>310</v>
      </c>
      <c r="C8" s="8">
        <v>7</v>
      </c>
      <c r="D8" s="10" t="s">
        <v>124</v>
      </c>
      <c r="F8" s="12" t="s">
        <v>137</v>
      </c>
      <c r="G8" s="8"/>
      <c r="H8" s="8"/>
      <c r="I8" s="8" t="s">
        <v>44</v>
      </c>
      <c r="J8" s="8" t="s">
        <v>295</v>
      </c>
      <c r="K8" s="10" t="s">
        <v>123</v>
      </c>
      <c r="L8" s="8"/>
      <c r="M8" s="8"/>
      <c r="S8" s="13" t="s">
        <v>368</v>
      </c>
      <c r="T8" s="13" t="s">
        <v>372</v>
      </c>
      <c r="U8" s="67" t="s">
        <v>442</v>
      </c>
    </row>
    <row r="9" spans="1:22" ht="14.5" x14ac:dyDescent="0.3">
      <c r="A9" s="8"/>
      <c r="B9" s="13" t="s">
        <v>107</v>
      </c>
      <c r="C9" s="8">
        <v>8</v>
      </c>
      <c r="D9" s="10" t="s">
        <v>131</v>
      </c>
      <c r="F9" s="12" t="s">
        <v>57</v>
      </c>
      <c r="G9" s="8"/>
      <c r="H9" s="8"/>
      <c r="I9" s="8" t="s">
        <v>45</v>
      </c>
      <c r="J9" s="8"/>
      <c r="K9" s="10" t="s">
        <v>275</v>
      </c>
      <c r="L9" s="8"/>
      <c r="M9" s="8"/>
      <c r="U9" s="67" t="s">
        <v>443</v>
      </c>
    </row>
    <row r="10" spans="1:22" ht="14.5" x14ac:dyDescent="0.3">
      <c r="A10" s="8"/>
      <c r="B10" s="13" t="s">
        <v>110</v>
      </c>
      <c r="C10" s="8">
        <v>9</v>
      </c>
      <c r="D10" s="10" t="s">
        <v>125</v>
      </c>
      <c r="F10" s="12" t="s">
        <v>58</v>
      </c>
      <c r="G10" s="8"/>
      <c r="H10" s="8"/>
      <c r="I10" s="8" t="s">
        <v>46</v>
      </c>
      <c r="J10" s="8"/>
      <c r="K10" s="10" t="s">
        <v>124</v>
      </c>
      <c r="L10" s="8"/>
      <c r="M10" s="8"/>
      <c r="U10" s="67" t="s">
        <v>444</v>
      </c>
    </row>
    <row r="11" spans="1:22" x14ac:dyDescent="0.3">
      <c r="A11" s="8"/>
      <c r="B11" s="8" t="s">
        <v>177</v>
      </c>
      <c r="C11" s="8">
        <v>10</v>
      </c>
      <c r="D11" s="13">
        <v>14</v>
      </c>
      <c r="F11" s="12" t="s">
        <v>545</v>
      </c>
      <c r="G11" s="8"/>
      <c r="H11" s="8"/>
      <c r="I11" s="8" t="s">
        <v>175</v>
      </c>
      <c r="J11" s="8"/>
      <c r="K11" s="10" t="s">
        <v>276</v>
      </c>
      <c r="L11" s="8"/>
      <c r="M11" s="8"/>
    </row>
    <row r="12" spans="1:22" x14ac:dyDescent="0.3">
      <c r="A12" s="13"/>
      <c r="B12" s="8" t="s">
        <v>201</v>
      </c>
      <c r="C12" s="8" t="s">
        <v>230</v>
      </c>
      <c r="D12" s="10" t="s">
        <v>88</v>
      </c>
      <c r="F12" s="12" t="s">
        <v>453</v>
      </c>
      <c r="G12" s="13"/>
      <c r="H12" s="13"/>
      <c r="I12" s="13"/>
      <c r="J12" s="13"/>
      <c r="K12" s="13">
        <v>10</v>
      </c>
      <c r="L12" s="13"/>
      <c r="M12" s="13"/>
    </row>
    <row r="13" spans="1:22" x14ac:dyDescent="0.3">
      <c r="A13" s="13"/>
      <c r="B13" s="8" t="s">
        <v>212</v>
      </c>
      <c r="C13" s="8" t="s">
        <v>231</v>
      </c>
      <c r="D13" s="10" t="s">
        <v>89</v>
      </c>
      <c r="F13" s="12" t="s">
        <v>144</v>
      </c>
      <c r="G13" s="13"/>
      <c r="H13" s="13"/>
      <c r="I13" s="13"/>
      <c r="J13" s="13"/>
      <c r="K13" s="13">
        <v>11</v>
      </c>
      <c r="L13" s="13"/>
      <c r="M13" s="13"/>
    </row>
    <row r="14" spans="1:22" x14ac:dyDescent="0.3">
      <c r="A14" s="13"/>
      <c r="B14" s="8" t="s">
        <v>213</v>
      </c>
      <c r="C14" s="8" t="s">
        <v>221</v>
      </c>
      <c r="D14" s="13" t="s">
        <v>495</v>
      </c>
      <c r="F14" s="12" t="s">
        <v>59</v>
      </c>
      <c r="G14" s="13"/>
      <c r="H14" s="13"/>
      <c r="I14" s="13"/>
      <c r="J14" s="13"/>
      <c r="K14" s="13">
        <v>12</v>
      </c>
      <c r="L14" s="13"/>
      <c r="M14" s="13"/>
    </row>
    <row r="15" spans="1:22" x14ac:dyDescent="0.3">
      <c r="A15" s="13"/>
      <c r="B15" s="8" t="s">
        <v>232</v>
      </c>
      <c r="C15" s="13" t="s">
        <v>243</v>
      </c>
      <c r="D15" s="13" t="s">
        <v>498</v>
      </c>
      <c r="F15" s="12" t="s">
        <v>60</v>
      </c>
      <c r="G15" s="13"/>
      <c r="H15" s="13"/>
      <c r="I15" s="13"/>
      <c r="J15" s="13"/>
      <c r="K15" s="13">
        <v>13</v>
      </c>
      <c r="L15" s="13"/>
      <c r="M15" s="13"/>
    </row>
    <row r="16" spans="1:22" x14ac:dyDescent="0.3">
      <c r="A16" s="13"/>
      <c r="B16" s="8" t="s">
        <v>234</v>
      </c>
      <c r="C16" s="13" t="s">
        <v>251</v>
      </c>
      <c r="D16" s="13" t="s">
        <v>500</v>
      </c>
      <c r="E16" s="13"/>
      <c r="F16" s="12" t="s">
        <v>140</v>
      </c>
      <c r="G16" s="13"/>
      <c r="H16" s="13"/>
      <c r="I16" s="13"/>
      <c r="J16" s="13"/>
      <c r="K16" s="13">
        <v>14</v>
      </c>
      <c r="L16" s="13"/>
      <c r="M16" s="13"/>
    </row>
    <row r="17" spans="1:13" x14ac:dyDescent="0.3">
      <c r="A17" s="13"/>
      <c r="B17" s="8" t="s">
        <v>233</v>
      </c>
      <c r="C17" s="13" t="s">
        <v>314</v>
      </c>
      <c r="D17" s="13" t="s">
        <v>502</v>
      </c>
      <c r="F17" s="12" t="s">
        <v>61</v>
      </c>
      <c r="G17" s="13"/>
      <c r="H17" s="13"/>
      <c r="I17" s="13"/>
      <c r="J17" s="13"/>
      <c r="K17" s="13"/>
      <c r="L17" s="13"/>
      <c r="M17" s="13"/>
    </row>
    <row r="18" spans="1:13" x14ac:dyDescent="0.3">
      <c r="A18" s="13"/>
      <c r="B18" s="8" t="s">
        <v>235</v>
      </c>
      <c r="C18" s="13" t="s">
        <v>699</v>
      </c>
      <c r="D18" s="13" t="s">
        <v>504</v>
      </c>
      <c r="F18" s="12" t="s">
        <v>62</v>
      </c>
      <c r="G18" s="13"/>
      <c r="H18" s="13"/>
      <c r="I18" s="13"/>
      <c r="J18" s="13"/>
      <c r="K18" s="13"/>
      <c r="L18" s="13"/>
      <c r="M18" s="13"/>
    </row>
    <row r="19" spans="1:13" x14ac:dyDescent="0.3">
      <c r="A19" s="13"/>
      <c r="B19" s="13" t="s">
        <v>403</v>
      </c>
      <c r="C19" s="13" t="s">
        <v>702</v>
      </c>
      <c r="D19" s="13">
        <v>18</v>
      </c>
      <c r="F19" s="12" t="s">
        <v>139</v>
      </c>
      <c r="G19" s="13"/>
      <c r="H19" s="13"/>
      <c r="I19" s="13"/>
      <c r="J19" s="13"/>
      <c r="K19" s="13"/>
      <c r="L19" s="13"/>
      <c r="M19" s="13"/>
    </row>
    <row r="20" spans="1:13" x14ac:dyDescent="0.3">
      <c r="A20" s="13"/>
      <c r="B20" s="13" t="s">
        <v>411</v>
      </c>
      <c r="C20" s="13" t="s">
        <v>212</v>
      </c>
      <c r="D20" s="13"/>
      <c r="F20" s="12" t="s">
        <v>63</v>
      </c>
      <c r="G20" s="13"/>
      <c r="H20" s="13"/>
      <c r="I20" s="13"/>
      <c r="J20" s="13"/>
      <c r="K20" s="13"/>
      <c r="L20" s="13"/>
      <c r="M20" s="13"/>
    </row>
    <row r="21" spans="1:13" x14ac:dyDescent="0.3">
      <c r="A21" s="13"/>
      <c r="B21" s="13" t="s">
        <v>430</v>
      </c>
      <c r="C21" s="13" t="s">
        <v>703</v>
      </c>
      <c r="D21" s="13"/>
      <c r="F21" s="12" t="s">
        <v>576</v>
      </c>
      <c r="G21" s="13"/>
      <c r="H21" s="13"/>
      <c r="I21" s="13"/>
      <c r="J21" s="13"/>
      <c r="K21" s="13"/>
      <c r="L21" s="13"/>
      <c r="M21" s="13"/>
    </row>
    <row r="22" spans="1:13" x14ac:dyDescent="0.3">
      <c r="A22" s="13"/>
      <c r="B22" s="13" t="s">
        <v>471</v>
      </c>
      <c r="C22" s="1" t="s">
        <v>726</v>
      </c>
      <c r="D22" s="13"/>
      <c r="F22" s="12" t="s">
        <v>64</v>
      </c>
      <c r="G22" s="13"/>
      <c r="H22" s="13"/>
      <c r="I22" s="13"/>
      <c r="J22" s="13"/>
      <c r="K22" s="13"/>
      <c r="L22" s="13"/>
      <c r="M22" s="13"/>
    </row>
    <row r="23" spans="1:13" x14ac:dyDescent="0.3">
      <c r="A23" s="13"/>
      <c r="B23" s="13" t="s">
        <v>483</v>
      </c>
      <c r="C23" s="13" t="s">
        <v>539</v>
      </c>
      <c r="D23" s="13"/>
      <c r="F23" s="12" t="s">
        <v>65</v>
      </c>
      <c r="G23" s="13"/>
      <c r="H23" s="13"/>
      <c r="I23" s="13"/>
      <c r="J23" s="13"/>
      <c r="K23" s="13"/>
      <c r="L23" s="13"/>
      <c r="M23" s="13"/>
    </row>
    <row r="24" spans="1:13" x14ac:dyDescent="0.3">
      <c r="A24" s="13"/>
      <c r="B24" s="13" t="s">
        <v>494</v>
      </c>
      <c r="C24" s="13"/>
      <c r="D24" s="13"/>
      <c r="F24" s="12" t="s">
        <v>142</v>
      </c>
      <c r="G24" s="13"/>
      <c r="H24" s="13"/>
      <c r="I24" s="13"/>
      <c r="J24" s="13"/>
      <c r="K24" s="13"/>
      <c r="L24" s="13"/>
      <c r="M24" s="13"/>
    </row>
    <row r="25" spans="1:13" x14ac:dyDescent="0.3">
      <c r="A25" s="13"/>
      <c r="B25" s="13" t="s">
        <v>537</v>
      </c>
      <c r="C25" s="13"/>
      <c r="D25" s="13"/>
      <c r="E25" s="13"/>
      <c r="F25" s="12" t="s">
        <v>217</v>
      </c>
      <c r="G25" s="13"/>
      <c r="H25" s="13"/>
      <c r="I25" s="13"/>
      <c r="J25" s="13"/>
      <c r="K25" s="13"/>
      <c r="L25" s="13"/>
      <c r="M25" s="13"/>
    </row>
    <row r="26" spans="1:13" x14ac:dyDescent="0.3">
      <c r="A26" s="13"/>
      <c r="B26" s="13" t="s">
        <v>547</v>
      </c>
      <c r="C26" s="13"/>
      <c r="D26" s="13"/>
      <c r="E26" s="13"/>
      <c r="F26" s="12" t="s">
        <v>657</v>
      </c>
      <c r="G26" s="13"/>
      <c r="H26" s="13"/>
      <c r="I26" s="13"/>
      <c r="J26" s="13"/>
      <c r="K26" s="13"/>
      <c r="L26" s="13"/>
      <c r="M26" s="13"/>
    </row>
    <row r="27" spans="1:13" x14ac:dyDescent="0.3">
      <c r="A27" s="13"/>
      <c r="B27" s="13" t="s">
        <v>563</v>
      </c>
      <c r="C27" s="13"/>
      <c r="D27" s="13"/>
      <c r="E27" s="13"/>
      <c r="F27" s="12" t="s">
        <v>143</v>
      </c>
      <c r="G27" s="13"/>
      <c r="H27" s="13"/>
      <c r="I27" s="13"/>
      <c r="J27" s="13"/>
      <c r="K27" s="13"/>
      <c r="L27" s="13"/>
      <c r="M27" s="13"/>
    </row>
    <row r="28" spans="1:13" x14ac:dyDescent="0.3">
      <c r="A28" s="13"/>
      <c r="B28" s="13" t="s">
        <v>568</v>
      </c>
      <c r="C28" s="13"/>
      <c r="D28" s="13"/>
      <c r="E28" s="13"/>
      <c r="F28" s="12" t="s">
        <v>66</v>
      </c>
      <c r="G28" s="13"/>
      <c r="H28" s="13"/>
      <c r="I28" s="13"/>
      <c r="J28" s="13"/>
      <c r="K28" s="13"/>
      <c r="L28" s="13"/>
      <c r="M28" s="13"/>
    </row>
    <row r="29" spans="1:13" x14ac:dyDescent="0.3">
      <c r="A29" s="13"/>
      <c r="B29" s="13" t="s">
        <v>603</v>
      </c>
      <c r="C29" s="13"/>
      <c r="D29" s="13"/>
      <c r="E29" s="13"/>
      <c r="F29" s="12" t="s">
        <v>580</v>
      </c>
      <c r="G29" s="13"/>
      <c r="H29" s="13"/>
      <c r="I29" s="13"/>
      <c r="J29" s="13"/>
      <c r="K29" s="13"/>
      <c r="L29" s="13"/>
      <c r="M29" s="13"/>
    </row>
    <row r="30" spans="1:13" x14ac:dyDescent="0.3">
      <c r="A30" s="13"/>
      <c r="B30" s="13" t="s">
        <v>617</v>
      </c>
      <c r="C30" s="13"/>
      <c r="D30" s="13"/>
      <c r="E30" s="13"/>
      <c r="F30" s="12" t="s">
        <v>514</v>
      </c>
      <c r="G30" s="13"/>
      <c r="H30" s="13"/>
      <c r="I30" s="13"/>
      <c r="J30" s="13"/>
      <c r="K30" s="13"/>
      <c r="L30" s="13"/>
      <c r="M30" s="13"/>
    </row>
    <row r="31" spans="1:13" x14ac:dyDescent="0.3">
      <c r="A31" s="13"/>
      <c r="B31" s="13"/>
      <c r="C31" s="13"/>
      <c r="D31" s="13"/>
      <c r="E31" s="13"/>
      <c r="F31" s="12" t="s">
        <v>630</v>
      </c>
      <c r="G31" s="13"/>
      <c r="H31" s="13"/>
      <c r="I31" s="13"/>
      <c r="J31" s="13"/>
      <c r="K31" s="13"/>
      <c r="L31" s="13"/>
      <c r="M31" s="13"/>
    </row>
    <row r="32" spans="1:13" x14ac:dyDescent="0.3">
      <c r="A32" s="13"/>
      <c r="B32" s="13"/>
      <c r="C32" s="13"/>
      <c r="D32" s="13"/>
      <c r="E32" s="13"/>
      <c r="F32" s="12" t="s">
        <v>67</v>
      </c>
      <c r="G32" s="13"/>
      <c r="H32" s="13"/>
      <c r="I32" s="13"/>
      <c r="J32" s="13"/>
      <c r="K32" s="13"/>
      <c r="L32" s="13"/>
      <c r="M32" s="13"/>
    </row>
    <row r="33" spans="1:13" x14ac:dyDescent="0.3">
      <c r="A33" s="13"/>
      <c r="B33" s="13"/>
      <c r="C33" s="13"/>
      <c r="D33" s="13"/>
      <c r="E33" s="13"/>
      <c r="F33" s="12" t="s">
        <v>141</v>
      </c>
      <c r="G33" s="13"/>
      <c r="H33" s="13"/>
      <c r="I33" s="13"/>
      <c r="J33" s="13"/>
      <c r="K33" s="13"/>
      <c r="L33" s="13"/>
      <c r="M33" s="13"/>
    </row>
    <row r="34" spans="1:13" x14ac:dyDescent="0.3">
      <c r="A34" s="13"/>
      <c r="B34" s="13"/>
      <c r="C34" s="13"/>
      <c r="D34" s="13"/>
      <c r="E34" s="13"/>
      <c r="F34" s="12" t="s">
        <v>641</v>
      </c>
      <c r="G34" s="13"/>
      <c r="H34" s="13"/>
      <c r="I34" s="13"/>
      <c r="J34" s="13"/>
      <c r="K34" s="13"/>
      <c r="L34" s="13"/>
      <c r="M34" s="13"/>
    </row>
    <row r="35" spans="1:13" x14ac:dyDescent="0.3">
      <c r="A35" s="13"/>
      <c r="B35" s="13"/>
      <c r="C35" s="13"/>
      <c r="D35" s="13"/>
      <c r="E35" s="13"/>
      <c r="F35" s="12" t="s">
        <v>431</v>
      </c>
      <c r="G35" s="13"/>
      <c r="H35" s="13"/>
      <c r="I35" s="13"/>
      <c r="J35" s="13"/>
      <c r="K35" s="13"/>
      <c r="L35" s="13"/>
      <c r="M35" s="13"/>
    </row>
    <row r="36" spans="1:13" x14ac:dyDescent="0.3">
      <c r="A36" s="13"/>
      <c r="B36" s="13"/>
      <c r="C36" s="13"/>
      <c r="D36" s="13"/>
      <c r="E36" s="13"/>
      <c r="F36" s="12" t="s">
        <v>68</v>
      </c>
      <c r="G36" s="13"/>
      <c r="H36" s="13"/>
      <c r="I36" s="13"/>
      <c r="J36" s="13"/>
      <c r="K36" s="13"/>
      <c r="L36" s="13"/>
      <c r="M36" s="13"/>
    </row>
    <row r="37" spans="1:13" x14ac:dyDescent="0.3">
      <c r="A37" s="13"/>
      <c r="B37" s="13"/>
      <c r="C37" s="13"/>
      <c r="D37" s="13"/>
      <c r="E37" s="13"/>
      <c r="F37" s="12" t="s">
        <v>69</v>
      </c>
      <c r="G37" s="13"/>
      <c r="H37" s="13"/>
      <c r="I37" s="13"/>
      <c r="J37" s="13"/>
      <c r="K37" s="13"/>
      <c r="L37" s="13"/>
      <c r="M37" s="13"/>
    </row>
    <row r="38" spans="1:13" x14ac:dyDescent="0.3">
      <c r="A38" s="13"/>
      <c r="B38" s="13"/>
      <c r="C38" s="13"/>
      <c r="D38" s="13"/>
      <c r="E38" s="13"/>
      <c r="F38" s="12" t="s">
        <v>644</v>
      </c>
      <c r="G38" s="13"/>
      <c r="H38" s="13"/>
      <c r="I38" s="13"/>
      <c r="J38" s="13"/>
      <c r="K38" s="13"/>
      <c r="L38" s="13"/>
      <c r="M38" s="13"/>
    </row>
    <row r="39" spans="1:13" x14ac:dyDescent="0.3">
      <c r="F39" s="12" t="s">
        <v>70</v>
      </c>
    </row>
    <row r="40" spans="1:13" x14ac:dyDescent="0.3">
      <c r="F40" s="12" t="s">
        <v>71</v>
      </c>
    </row>
    <row r="41" spans="1:13" x14ac:dyDescent="0.3">
      <c r="F41" s="12" t="s">
        <v>72</v>
      </c>
    </row>
    <row r="42" spans="1:13" x14ac:dyDescent="0.3">
      <c r="F42" s="12" t="s">
        <v>73</v>
      </c>
      <c r="K42" s="1" t="s">
        <v>452</v>
      </c>
    </row>
    <row r="43" spans="1:13" x14ac:dyDescent="0.3">
      <c r="F43" s="12" t="s">
        <v>74</v>
      </c>
    </row>
    <row r="44" spans="1:13" x14ac:dyDescent="0.3">
      <c r="F44" s="12" t="s">
        <v>459</v>
      </c>
    </row>
    <row r="45" spans="1:13" x14ac:dyDescent="0.3">
      <c r="F45" s="12" t="s">
        <v>75</v>
      </c>
    </row>
    <row r="46" spans="1:13" x14ac:dyDescent="0.3">
      <c r="F46" s="12" t="s">
        <v>76</v>
      </c>
    </row>
    <row r="47" spans="1:13" x14ac:dyDescent="0.3">
      <c r="F47" s="12" t="s">
        <v>605</v>
      </c>
    </row>
    <row r="48" spans="1:13" x14ac:dyDescent="0.3">
      <c r="F48" s="12" t="s">
        <v>77</v>
      </c>
    </row>
    <row r="49" spans="6:6" x14ac:dyDescent="0.3">
      <c r="F49" s="12" t="s">
        <v>78</v>
      </c>
    </row>
    <row r="50" spans="6:6" x14ac:dyDescent="0.3">
      <c r="F50" s="12" t="s">
        <v>79</v>
      </c>
    </row>
    <row r="51" spans="6:6" x14ac:dyDescent="0.3">
      <c r="F51" s="12" t="s">
        <v>80</v>
      </c>
    </row>
    <row r="52" spans="6:6" x14ac:dyDescent="0.3">
      <c r="F52" s="12" t="s">
        <v>81</v>
      </c>
    </row>
    <row r="53" spans="6:6" x14ac:dyDescent="0.3">
      <c r="F53" s="12" t="s">
        <v>82</v>
      </c>
    </row>
    <row r="54" spans="6:6" x14ac:dyDescent="0.3">
      <c r="F54" s="12" t="s">
        <v>83</v>
      </c>
    </row>
    <row r="55" spans="6:6" x14ac:dyDescent="0.3">
      <c r="F55" s="12" t="s">
        <v>84</v>
      </c>
    </row>
    <row r="56" spans="6:6" x14ac:dyDescent="0.3">
      <c r="F56" s="12" t="s">
        <v>85</v>
      </c>
    </row>
    <row r="57" spans="6:6" x14ac:dyDescent="0.3">
      <c r="F57" s="12" t="s">
        <v>86</v>
      </c>
    </row>
    <row r="58" spans="6:6" x14ac:dyDescent="0.3">
      <c r="F58" s="12" t="s">
        <v>87</v>
      </c>
    </row>
    <row r="59" spans="6:6" x14ac:dyDescent="0.3">
      <c r="F59" s="12">
        <v>1000</v>
      </c>
    </row>
    <row r="60" spans="6:6" x14ac:dyDescent="0.3">
      <c r="F60" s="12">
        <v>1200</v>
      </c>
    </row>
    <row r="61" spans="6:6" x14ac:dyDescent="0.3">
      <c r="F61" s="12">
        <v>1500</v>
      </c>
    </row>
    <row r="62" spans="6:6" x14ac:dyDescent="0.3">
      <c r="F62" s="12">
        <v>1800</v>
      </c>
    </row>
  </sheetData>
  <autoFilter ref="A1:Q39" xr:uid="{0ACCF612-3D7D-490B-A72D-7D4D5F0C4DD8}"/>
  <conditionalFormatting sqref="B1:B2 B4:B1048576">
    <cfRule type="duplicateValues" dxfId="31" priority="17"/>
  </conditionalFormatting>
  <conditionalFormatting sqref="C1:C17 C20:C21 C23:C1048576">
    <cfRule type="duplicateValues" dxfId="30" priority="154"/>
    <cfRule type="duplicateValues" dxfId="29" priority="155"/>
  </conditionalFormatting>
  <conditionalFormatting sqref="D1:D10 D12:D13 D19:D1048576">
    <cfRule type="duplicateValues" dxfId="28" priority="18"/>
    <cfRule type="duplicateValues" dxfId="27" priority="20"/>
  </conditionalFormatting>
  <conditionalFormatting sqref="D1:D1048576">
    <cfRule type="duplicateValues" dxfId="26" priority="15"/>
  </conditionalFormatting>
  <conditionalFormatting sqref="F31:F33 F1:F25 F27:F29 F35:F37 F39:F46 F48:F1048576">
    <cfRule type="duplicateValues" dxfId="25" priority="151"/>
  </conditionalFormatting>
  <conditionalFormatting sqref="F45:F46 F32:F33 F35:F37 F39:F43 F27:F28 F48:F1048576 F1:F4 F6 F8:F10 F13:F20 F22:F24">
    <cfRule type="duplicateValues" dxfId="24" priority="92"/>
  </conditionalFormatting>
  <conditionalFormatting sqref="G1:G1048576">
    <cfRule type="duplicateValues" dxfId="23" priority="13"/>
  </conditionalFormatting>
  <conditionalFormatting sqref="I1:I1048576">
    <cfRule type="duplicateValues" dxfId="22" priority="12"/>
    <cfRule type="duplicateValues" dxfId="21" priority="19"/>
  </conditionalFormatting>
  <conditionalFormatting sqref="J1:J1048576">
    <cfRule type="duplicateValues" dxfId="20" priority="11"/>
  </conditionalFormatting>
  <conditionalFormatting sqref="L1:L1048576">
    <cfRule type="duplicateValues" dxfId="19" priority="10"/>
  </conditionalFormatting>
  <conditionalFormatting sqref="N1:N1048576">
    <cfRule type="duplicateValues" dxfId="18" priority="9"/>
  </conditionalFormatting>
  <conditionalFormatting sqref="O1:O1048576">
    <cfRule type="duplicateValues" dxfId="17" priority="8"/>
  </conditionalFormatting>
  <conditionalFormatting sqref="P1:P1048576">
    <cfRule type="duplicateValues" dxfId="16" priority="7"/>
  </conditionalFormatting>
  <conditionalFormatting sqref="Q1:Q1048576">
    <cfRule type="duplicateValues" dxfId="15" priority="6"/>
  </conditionalFormatting>
  <conditionalFormatting sqref="R1:R1048576">
    <cfRule type="duplicateValues" dxfId="14" priority="5"/>
  </conditionalFormatting>
  <conditionalFormatting sqref="S1:S1048576">
    <cfRule type="duplicateValues" dxfId="13" priority="4"/>
  </conditionalFormatting>
  <conditionalFormatting sqref="T1:T1048576">
    <cfRule type="duplicateValues" dxfId="12" priority="3"/>
  </conditionalFormatting>
  <conditionalFormatting sqref="U1:U1048576">
    <cfRule type="duplicateValues" dxfId="11" priority="2"/>
  </conditionalFormatting>
  <conditionalFormatting sqref="V1:V1048576">
    <cfRule type="duplicateValues" dxfId="10" priority="1"/>
  </conditionalFormatting>
  <pageMargins left="0.7" right="0.7" top="0.75" bottom="0.75" header="0.3" footer="0.3"/>
  <pageSetup orientation="portrait" horizontalDpi="1200" verticalDpi="1200" r:id="rId1"/>
  <ignoredErrors>
    <ignoredError sqref="F1:F3 D2:D10 K2:K11 F63:F1048576 F4 D12:D13 F5:F6 F7:F1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43FE9-8D27-4ABB-A85C-A405C9E7B1C3}">
  <dimension ref="A1:Z144"/>
  <sheetViews>
    <sheetView tabSelected="1" zoomScale="119"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B98" sqref="B98"/>
    </sheetView>
  </sheetViews>
  <sheetFormatPr defaultColWidth="8.81640625" defaultRowHeight="12" x14ac:dyDescent="0.3"/>
  <cols>
    <col min="1" max="1" width="22.81640625" style="15" bestFit="1" customWidth="1"/>
    <col min="2" max="2" width="6" style="15" bestFit="1" customWidth="1"/>
    <col min="3" max="3" width="26.81640625" style="15" bestFit="1" customWidth="1"/>
    <col min="4" max="4" width="14.81640625" style="16" bestFit="1" customWidth="1"/>
    <col min="5" max="5" width="16.7265625" style="16" bestFit="1" customWidth="1"/>
    <col min="6" max="6" width="18.453125" style="16" bestFit="1" customWidth="1"/>
    <col min="7" max="7" width="16.7265625" style="16" customWidth="1"/>
    <col min="8" max="8" width="14.1796875" style="16" bestFit="1" customWidth="1"/>
    <col min="9" max="9" width="12.7265625" style="16" bestFit="1" customWidth="1"/>
    <col min="10" max="10" width="42.26953125" style="15" bestFit="1" customWidth="1"/>
    <col min="11" max="11" width="18.26953125" style="15" bestFit="1" customWidth="1"/>
    <col min="12" max="12" width="20.1796875" style="15" bestFit="1" customWidth="1"/>
    <col min="13" max="13" width="21" style="15" bestFit="1" customWidth="1"/>
    <col min="14" max="14" width="31.26953125" style="15" bestFit="1" customWidth="1"/>
    <col min="15" max="15" width="22.81640625" style="15" customWidth="1"/>
    <col min="16" max="16" width="17.1796875" style="15" bestFit="1" customWidth="1"/>
    <col min="17" max="17" width="14.26953125" style="15" customWidth="1"/>
    <col min="18" max="18" width="13" style="15" customWidth="1"/>
    <col min="19" max="19" width="15.453125" style="15" customWidth="1"/>
    <col min="20" max="20" width="8.81640625" style="15"/>
    <col min="21" max="21" width="15.54296875" style="15" customWidth="1"/>
    <col min="22" max="22" width="20.453125" style="15" customWidth="1"/>
    <col min="23" max="23" width="31.26953125" style="15" bestFit="1" customWidth="1"/>
    <col min="24" max="26" width="23.26953125" style="16" bestFit="1" customWidth="1"/>
    <col min="27" max="16384" width="8.81640625" style="15"/>
  </cols>
  <sheetData>
    <row r="1" spans="1:26" ht="14.5" thickBot="1" x14ac:dyDescent="0.35">
      <c r="A1" s="33" t="s">
        <v>105</v>
      </c>
      <c r="B1" s="24"/>
      <c r="C1" s="34" t="s">
        <v>90</v>
      </c>
      <c r="D1" s="33" t="s">
        <v>30</v>
      </c>
      <c r="E1" s="33" t="s">
        <v>286</v>
      </c>
      <c r="F1" s="33" t="s">
        <v>317</v>
      </c>
      <c r="G1" s="33" t="s">
        <v>326</v>
      </c>
      <c r="H1" s="33" t="s">
        <v>291</v>
      </c>
      <c r="I1" s="33" t="s">
        <v>309</v>
      </c>
      <c r="J1" s="33" t="s">
        <v>108</v>
      </c>
      <c r="K1" s="33" t="s">
        <v>176</v>
      </c>
      <c r="L1" s="33" t="s">
        <v>191</v>
      </c>
      <c r="M1" s="33" t="s">
        <v>207</v>
      </c>
      <c r="N1" s="33" t="s">
        <v>220</v>
      </c>
      <c r="O1" s="33" t="s">
        <v>409</v>
      </c>
      <c r="P1" s="33" t="s">
        <v>418</v>
      </c>
      <c r="Q1" s="33" t="s">
        <v>467</v>
      </c>
      <c r="R1" s="33" t="s">
        <v>477</v>
      </c>
      <c r="S1" s="33" t="s">
        <v>486</v>
      </c>
      <c r="T1" s="33" t="s">
        <v>536</v>
      </c>
      <c r="U1" s="33" t="s">
        <v>546</v>
      </c>
      <c r="V1" s="33" t="s">
        <v>562</v>
      </c>
      <c r="W1" s="33" t="s">
        <v>567</v>
      </c>
      <c r="X1" s="33" t="s">
        <v>598</v>
      </c>
      <c r="Y1" s="33" t="s">
        <v>611</v>
      </c>
      <c r="Z1" s="33" t="s">
        <v>618</v>
      </c>
    </row>
    <row r="2" spans="1:26" ht="12.5" thickBot="1" x14ac:dyDescent="0.35">
      <c r="D2" s="44"/>
      <c r="E2" s="44"/>
      <c r="F2" s="44"/>
      <c r="G2" s="44"/>
      <c r="H2" s="44"/>
      <c r="I2" s="44"/>
      <c r="J2" s="46"/>
      <c r="K2" s="46"/>
      <c r="L2" s="46"/>
      <c r="M2" s="46"/>
      <c r="N2" s="46"/>
      <c r="X2" s="44"/>
      <c r="Y2" s="44"/>
      <c r="Z2" s="44"/>
    </row>
    <row r="3" spans="1:26" x14ac:dyDescent="0.3">
      <c r="A3" s="79" t="s">
        <v>23</v>
      </c>
      <c r="B3" s="18" t="s">
        <v>22</v>
      </c>
      <c r="C3" s="35" t="s">
        <v>30</v>
      </c>
      <c r="D3" s="44" t="s">
        <v>119</v>
      </c>
      <c r="E3" s="44" t="s">
        <v>122</v>
      </c>
      <c r="F3" s="44" t="s">
        <v>320</v>
      </c>
      <c r="G3" s="44" t="s">
        <v>327</v>
      </c>
      <c r="H3" s="44" t="s">
        <v>304</v>
      </c>
      <c r="I3" s="44" t="s">
        <v>311</v>
      </c>
      <c r="J3" s="47" t="s">
        <v>120</v>
      </c>
      <c r="K3" s="46" t="s">
        <v>179</v>
      </c>
      <c r="L3" s="46" t="s">
        <v>192</v>
      </c>
      <c r="M3" s="46" t="s">
        <v>215</v>
      </c>
      <c r="N3" s="46" t="s">
        <v>236</v>
      </c>
      <c r="O3" s="15" t="s">
        <v>412</v>
      </c>
      <c r="P3" s="15" t="s">
        <v>421</v>
      </c>
      <c r="Q3" s="15" t="s">
        <v>468</v>
      </c>
      <c r="R3" s="15" t="s">
        <v>478</v>
      </c>
      <c r="S3" s="15" t="s">
        <v>489</v>
      </c>
      <c r="T3" s="15" t="s">
        <v>538</v>
      </c>
      <c r="U3" s="15" t="s">
        <v>548</v>
      </c>
      <c r="V3" s="15" t="s">
        <v>564</v>
      </c>
      <c r="W3" s="15" t="s">
        <v>569</v>
      </c>
      <c r="X3" s="44" t="s">
        <v>599</v>
      </c>
      <c r="Y3" s="44" t="s">
        <v>612</v>
      </c>
      <c r="Z3" s="44" t="s">
        <v>621</v>
      </c>
    </row>
    <row r="4" spans="1:26" ht="14.5" customHeight="1" x14ac:dyDescent="0.3">
      <c r="A4" s="80"/>
      <c r="B4" s="17" t="s">
        <v>107</v>
      </c>
      <c r="C4" s="36" t="s">
        <v>109</v>
      </c>
      <c r="D4" s="44" t="s">
        <v>671</v>
      </c>
      <c r="F4" s="44"/>
      <c r="G4" s="44"/>
      <c r="H4" s="44"/>
      <c r="I4" s="44"/>
      <c r="J4" s="48" t="s">
        <v>121</v>
      </c>
      <c r="K4" s="46"/>
      <c r="L4" s="46"/>
      <c r="M4" s="46" t="s">
        <v>216</v>
      </c>
      <c r="N4" s="46" t="s">
        <v>238</v>
      </c>
    </row>
    <row r="5" spans="1:26" ht="14.5" customHeight="1" x14ac:dyDescent="0.3">
      <c r="A5" s="80"/>
      <c r="B5" s="17" t="s">
        <v>110</v>
      </c>
      <c r="C5" s="37" t="s">
        <v>111</v>
      </c>
      <c r="D5" s="44"/>
      <c r="E5" s="44"/>
      <c r="F5" s="44"/>
      <c r="G5" s="44"/>
      <c r="H5" s="44"/>
      <c r="I5" s="44"/>
      <c r="J5" s="46"/>
      <c r="L5" s="46"/>
      <c r="M5" s="46"/>
      <c r="N5" s="46" t="s">
        <v>237</v>
      </c>
      <c r="X5" s="44"/>
      <c r="Y5" s="44"/>
      <c r="Z5" s="44"/>
    </row>
    <row r="6" spans="1:26" ht="14.5" customHeight="1" x14ac:dyDescent="0.3">
      <c r="A6" s="80"/>
      <c r="B6" s="17" t="s">
        <v>177</v>
      </c>
      <c r="C6" s="37" t="s">
        <v>178</v>
      </c>
      <c r="D6" s="44"/>
      <c r="E6" s="44"/>
      <c r="F6" s="44"/>
      <c r="G6" s="44"/>
      <c r="H6" s="44"/>
      <c r="I6" s="44"/>
      <c r="J6" s="48"/>
      <c r="K6" s="46"/>
      <c r="L6" s="46"/>
      <c r="M6" s="46"/>
      <c r="N6" s="46" t="s">
        <v>249</v>
      </c>
      <c r="X6" s="44"/>
      <c r="Y6" s="44"/>
      <c r="Z6" s="44"/>
    </row>
    <row r="7" spans="1:26" ht="14.5" customHeight="1" x14ac:dyDescent="0.3">
      <c r="A7" s="80"/>
      <c r="B7" s="17" t="s">
        <v>411</v>
      </c>
      <c r="C7" s="37" t="s">
        <v>409</v>
      </c>
      <c r="D7" s="44"/>
      <c r="E7" s="44"/>
      <c r="F7" s="44"/>
      <c r="G7" s="44"/>
      <c r="H7" s="44"/>
      <c r="I7" s="44"/>
      <c r="J7" s="48"/>
      <c r="K7" s="46"/>
      <c r="L7" s="46"/>
      <c r="M7" s="46"/>
      <c r="N7" s="46" t="s">
        <v>402</v>
      </c>
      <c r="X7" s="44"/>
      <c r="Y7" s="44"/>
      <c r="Z7" s="44"/>
    </row>
    <row r="8" spans="1:26" ht="15" customHeight="1" thickBot="1" x14ac:dyDescent="0.35">
      <c r="A8" s="81"/>
      <c r="B8" s="23"/>
      <c r="C8" s="38"/>
      <c r="D8" s="44"/>
      <c r="E8" s="44"/>
      <c r="F8" s="44"/>
      <c r="G8" s="44"/>
      <c r="H8" s="44"/>
      <c r="I8" s="44"/>
      <c r="J8" s="48"/>
      <c r="K8" s="46"/>
      <c r="L8" s="46"/>
      <c r="M8" s="46"/>
      <c r="N8" s="46"/>
      <c r="X8" s="44"/>
      <c r="Y8" s="44"/>
      <c r="Z8" s="44"/>
    </row>
    <row r="9" spans="1:26" ht="35" x14ac:dyDescent="0.3">
      <c r="A9" s="79" t="s">
        <v>336</v>
      </c>
      <c r="B9" s="20" t="s">
        <v>277</v>
      </c>
      <c r="C9" s="55"/>
      <c r="D9" s="51" t="s">
        <v>272</v>
      </c>
      <c r="E9" s="44" t="s">
        <v>556</v>
      </c>
      <c r="F9" s="44" t="s">
        <v>464</v>
      </c>
      <c r="G9" s="44" t="s">
        <v>272</v>
      </c>
      <c r="H9" s="44"/>
      <c r="I9" s="44"/>
      <c r="J9" s="48" t="s">
        <v>106</v>
      </c>
      <c r="K9" s="46" t="s">
        <v>180</v>
      </c>
      <c r="L9" s="46" t="s">
        <v>193</v>
      </c>
      <c r="M9" s="46" t="s">
        <v>193</v>
      </c>
      <c r="N9" s="46"/>
      <c r="O9" s="15" t="s">
        <v>413</v>
      </c>
      <c r="P9" s="15" t="s">
        <v>193</v>
      </c>
      <c r="Q9" s="15" t="s">
        <v>193</v>
      </c>
      <c r="R9" s="15" t="s">
        <v>193</v>
      </c>
      <c r="S9" s="68" t="s">
        <v>490</v>
      </c>
      <c r="U9" s="15" t="s">
        <v>193</v>
      </c>
      <c r="V9" s="15" t="s">
        <v>193</v>
      </c>
      <c r="W9" s="15" t="s">
        <v>570</v>
      </c>
      <c r="X9" s="44" t="s">
        <v>600</v>
      </c>
      <c r="Y9" s="44" t="s">
        <v>613</v>
      </c>
      <c r="Z9" s="44" t="s">
        <v>272</v>
      </c>
    </row>
    <row r="10" spans="1:26" x14ac:dyDescent="0.3">
      <c r="A10" s="80"/>
      <c r="B10" s="21" t="s">
        <v>278</v>
      </c>
      <c r="C10" s="56"/>
      <c r="D10" s="51" t="s">
        <v>273</v>
      </c>
      <c r="E10" s="44"/>
      <c r="F10" s="44" t="s">
        <v>463</v>
      </c>
      <c r="G10" s="44"/>
      <c r="H10" s="44" t="s">
        <v>273</v>
      </c>
      <c r="I10" s="44"/>
      <c r="J10" s="48" t="s">
        <v>112</v>
      </c>
      <c r="K10" s="46" t="s">
        <v>181</v>
      </c>
      <c r="L10" s="46"/>
      <c r="M10" s="46"/>
      <c r="N10" s="46"/>
      <c r="O10" s="15" t="s">
        <v>414</v>
      </c>
      <c r="X10" s="44" t="s">
        <v>625</v>
      </c>
      <c r="Y10" s="44"/>
      <c r="Z10" s="44"/>
    </row>
    <row r="11" spans="1:26" x14ac:dyDescent="0.3">
      <c r="A11" s="80"/>
      <c r="B11" s="21" t="s">
        <v>279</v>
      </c>
      <c r="C11" s="56"/>
      <c r="D11" s="51" t="s">
        <v>274</v>
      </c>
      <c r="E11" s="44" t="s">
        <v>274</v>
      </c>
      <c r="F11" s="44"/>
      <c r="G11" s="44"/>
      <c r="H11" s="44"/>
      <c r="I11" s="44"/>
      <c r="J11" s="47" t="s">
        <v>113</v>
      </c>
      <c r="K11" s="46"/>
      <c r="L11" s="46"/>
      <c r="M11" s="46"/>
      <c r="N11" s="46"/>
      <c r="X11" s="44"/>
      <c r="Y11" s="44"/>
      <c r="Z11" s="44"/>
    </row>
    <row r="12" spans="1:26" x14ac:dyDescent="0.3">
      <c r="A12" s="80"/>
      <c r="B12" s="21" t="s">
        <v>280</v>
      </c>
      <c r="C12" s="56"/>
      <c r="D12" s="51" t="s">
        <v>738</v>
      </c>
      <c r="E12" s="44" t="s">
        <v>457</v>
      </c>
      <c r="F12" s="44"/>
      <c r="G12" s="44"/>
      <c r="H12" s="44"/>
      <c r="I12" s="44"/>
      <c r="J12" s="47" t="s">
        <v>114</v>
      </c>
      <c r="K12" s="46"/>
      <c r="L12" s="46"/>
      <c r="M12" s="46"/>
      <c r="N12" s="46"/>
      <c r="X12" s="44"/>
      <c r="Y12" s="44"/>
      <c r="Z12" s="44"/>
    </row>
    <row r="13" spans="1:26" x14ac:dyDescent="0.3">
      <c r="A13" s="80"/>
      <c r="B13" s="21" t="s">
        <v>281</v>
      </c>
      <c r="C13" s="56"/>
      <c r="D13" s="51"/>
      <c r="E13" s="44"/>
      <c r="F13" s="44"/>
      <c r="G13" s="44"/>
      <c r="H13" s="44"/>
      <c r="I13" s="44"/>
      <c r="J13" s="47" t="s">
        <v>115</v>
      </c>
      <c r="K13" s="46"/>
      <c r="L13" s="46"/>
      <c r="M13" s="46"/>
      <c r="N13" s="46"/>
      <c r="X13" s="44"/>
      <c r="Y13" s="44"/>
      <c r="Z13" s="44"/>
    </row>
    <row r="14" spans="1:26" x14ac:dyDescent="0.3">
      <c r="A14" s="80"/>
      <c r="B14" s="21" t="s">
        <v>282</v>
      </c>
      <c r="C14" s="56"/>
      <c r="D14" s="51"/>
      <c r="E14" s="44"/>
      <c r="F14" s="44"/>
      <c r="G14" s="44"/>
      <c r="H14" s="44"/>
      <c r="I14" s="44"/>
      <c r="J14" s="47" t="s">
        <v>116</v>
      </c>
      <c r="K14" s="46"/>
      <c r="L14" s="46"/>
      <c r="M14" s="46"/>
      <c r="N14" s="46"/>
      <c r="X14" s="44"/>
      <c r="Y14" s="44"/>
      <c r="Z14" s="44"/>
    </row>
    <row r="15" spans="1:26" x14ac:dyDescent="0.3">
      <c r="A15" s="80"/>
      <c r="B15" s="21" t="s">
        <v>283</v>
      </c>
      <c r="C15" s="56"/>
      <c r="D15" s="51"/>
      <c r="E15" s="44"/>
      <c r="F15" s="44"/>
      <c r="G15" s="44"/>
      <c r="H15" s="44"/>
      <c r="I15" s="44"/>
      <c r="J15" s="47" t="s">
        <v>117</v>
      </c>
      <c r="K15" s="46"/>
      <c r="L15" s="46"/>
      <c r="M15" s="46"/>
      <c r="N15" s="46"/>
      <c r="X15" s="44"/>
      <c r="Y15" s="44"/>
      <c r="Z15" s="44"/>
    </row>
    <row r="16" spans="1:26" x14ac:dyDescent="0.3">
      <c r="A16" s="80"/>
      <c r="B16" s="21" t="s">
        <v>284</v>
      </c>
      <c r="C16" s="56"/>
      <c r="D16" s="51"/>
      <c r="E16" s="44"/>
      <c r="F16" s="44"/>
      <c r="G16" s="44"/>
      <c r="H16" s="44"/>
      <c r="I16" s="44"/>
      <c r="J16" s="47" t="s">
        <v>118</v>
      </c>
      <c r="K16" s="46"/>
      <c r="L16" s="46"/>
      <c r="M16" s="46"/>
      <c r="N16" s="46"/>
      <c r="X16" s="44"/>
      <c r="Y16" s="44"/>
      <c r="Z16" s="44"/>
    </row>
    <row r="17" spans="1:26" x14ac:dyDescent="0.3">
      <c r="A17" s="80"/>
      <c r="B17" s="21" t="s">
        <v>285</v>
      </c>
      <c r="C17" s="56"/>
      <c r="D17" s="51"/>
      <c r="E17" s="44"/>
      <c r="F17" s="44"/>
      <c r="G17" s="44"/>
      <c r="H17" s="44"/>
      <c r="I17" s="44"/>
      <c r="J17" s="47"/>
      <c r="K17" s="46"/>
      <c r="L17" s="46"/>
      <c r="M17" s="46"/>
      <c r="N17" s="46"/>
      <c r="X17" s="44"/>
      <c r="Y17" s="44"/>
      <c r="Z17" s="44"/>
    </row>
    <row r="18" spans="1:26" x14ac:dyDescent="0.3">
      <c r="A18" s="80"/>
      <c r="B18" s="21" t="s">
        <v>131</v>
      </c>
      <c r="C18" s="56"/>
      <c r="D18" s="51"/>
      <c r="E18" s="44"/>
      <c r="F18" s="44"/>
      <c r="G18" s="44"/>
      <c r="H18" s="44"/>
      <c r="I18" s="44"/>
      <c r="J18" s="47"/>
      <c r="K18" s="46"/>
      <c r="L18" s="46"/>
      <c r="M18" s="46"/>
      <c r="N18" s="46"/>
      <c r="X18" s="44"/>
      <c r="Y18" s="44"/>
      <c r="Z18" s="44"/>
    </row>
    <row r="19" spans="1:26" x14ac:dyDescent="0.3">
      <c r="A19" s="80"/>
      <c r="B19" s="14" t="s">
        <v>230</v>
      </c>
      <c r="C19" s="58" t="s">
        <v>222</v>
      </c>
      <c r="D19" s="51"/>
      <c r="E19" s="44"/>
      <c r="F19" s="44"/>
      <c r="G19" s="44"/>
      <c r="H19" s="44"/>
      <c r="I19" s="44"/>
      <c r="J19" s="47"/>
      <c r="K19" s="50"/>
      <c r="L19" s="50"/>
      <c r="M19" s="46"/>
      <c r="N19" s="46" t="s">
        <v>222</v>
      </c>
      <c r="X19" s="44"/>
      <c r="Y19" s="44"/>
      <c r="Z19" s="44"/>
    </row>
    <row r="20" spans="1:26" x14ac:dyDescent="0.3">
      <c r="A20" s="80"/>
      <c r="B20" s="14" t="s">
        <v>231</v>
      </c>
      <c r="C20" s="58" t="s">
        <v>223</v>
      </c>
      <c r="D20" s="51"/>
      <c r="E20" s="44"/>
      <c r="F20" s="44"/>
      <c r="G20" s="44"/>
      <c r="H20" s="44"/>
      <c r="I20" s="44"/>
      <c r="J20" s="47"/>
      <c r="K20" s="50"/>
      <c r="L20" s="50"/>
      <c r="M20" s="46"/>
      <c r="N20" s="46" t="s">
        <v>223</v>
      </c>
      <c r="X20" s="44"/>
      <c r="Y20" s="44"/>
      <c r="Z20" s="44"/>
    </row>
    <row r="21" spans="1:26" x14ac:dyDescent="0.3">
      <c r="A21" s="80"/>
      <c r="B21" s="14" t="s">
        <v>221</v>
      </c>
      <c r="C21" s="58" t="s">
        <v>224</v>
      </c>
      <c r="D21" s="51"/>
      <c r="E21" s="44"/>
      <c r="F21" s="44"/>
      <c r="G21" s="44"/>
      <c r="H21" s="44"/>
      <c r="I21" s="44"/>
      <c r="J21" s="47"/>
      <c r="K21" s="50"/>
      <c r="L21" s="50"/>
      <c r="M21" s="46"/>
      <c r="N21" s="46" t="s">
        <v>224</v>
      </c>
      <c r="X21" s="44"/>
      <c r="Y21" s="44"/>
      <c r="Z21" s="44"/>
    </row>
    <row r="22" spans="1:26" x14ac:dyDescent="0.3">
      <c r="A22" s="80"/>
      <c r="B22" s="14" t="s">
        <v>243</v>
      </c>
      <c r="C22" s="58" t="s">
        <v>242</v>
      </c>
      <c r="D22" s="51"/>
      <c r="E22" s="44"/>
      <c r="F22" s="44"/>
      <c r="G22" s="44"/>
      <c r="H22" s="44"/>
      <c r="I22" s="44"/>
      <c r="J22" s="47"/>
      <c r="K22" s="50"/>
      <c r="L22" s="50"/>
      <c r="M22" s="46"/>
      <c r="N22" s="46" t="s">
        <v>242</v>
      </c>
      <c r="X22" s="44"/>
      <c r="Y22" s="44"/>
      <c r="Z22" s="44"/>
    </row>
    <row r="23" spans="1:26" x14ac:dyDescent="0.3">
      <c r="A23" s="80"/>
      <c r="B23" s="14" t="s">
        <v>251</v>
      </c>
      <c r="C23" s="56" t="s">
        <v>316</v>
      </c>
      <c r="D23" s="51"/>
      <c r="E23" s="44"/>
      <c r="F23" s="44"/>
      <c r="G23" s="44"/>
      <c r="H23" s="44"/>
      <c r="I23" s="44" t="s">
        <v>316</v>
      </c>
      <c r="J23" s="47"/>
      <c r="K23" s="50"/>
      <c r="L23" s="50"/>
      <c r="M23" s="46"/>
      <c r="N23" s="46"/>
      <c r="X23" s="44"/>
      <c r="Y23" s="44"/>
      <c r="Z23" s="44"/>
    </row>
    <row r="24" spans="1:26" ht="12.5" thickBot="1" x14ac:dyDescent="0.35">
      <c r="A24" s="80"/>
      <c r="B24" s="19" t="s">
        <v>314</v>
      </c>
      <c r="C24" s="57" t="s">
        <v>315</v>
      </c>
      <c r="D24" s="51"/>
      <c r="E24" s="44"/>
      <c r="F24" s="44"/>
      <c r="G24" s="44"/>
      <c r="H24" s="44"/>
      <c r="I24" s="44" t="s">
        <v>315</v>
      </c>
      <c r="J24" s="47"/>
      <c r="K24" s="50"/>
      <c r="L24" s="50"/>
      <c r="M24" s="46"/>
      <c r="N24" s="46"/>
      <c r="X24" s="44"/>
      <c r="Y24" s="44"/>
      <c r="Z24" s="44"/>
    </row>
    <row r="25" spans="1:26" x14ac:dyDescent="0.3">
      <c r="A25" s="80"/>
      <c r="B25" s="14" t="s">
        <v>699</v>
      </c>
      <c r="C25" s="37" t="s">
        <v>701</v>
      </c>
      <c r="I25" s="16" t="s">
        <v>700</v>
      </c>
      <c r="J25" s="36"/>
      <c r="K25" s="17"/>
      <c r="L25" s="17"/>
    </row>
    <row r="26" spans="1:26" x14ac:dyDescent="0.3">
      <c r="A26" s="80"/>
      <c r="B26" s="14" t="s">
        <v>702</v>
      </c>
      <c r="C26" s="37" t="s">
        <v>706</v>
      </c>
      <c r="I26" s="16" t="s">
        <v>706</v>
      </c>
      <c r="J26" s="36"/>
      <c r="K26" s="17"/>
      <c r="L26" s="17"/>
    </row>
    <row r="27" spans="1:26" x14ac:dyDescent="0.3">
      <c r="A27" s="80"/>
      <c r="B27" s="14" t="s">
        <v>212</v>
      </c>
      <c r="C27" s="37" t="s">
        <v>704</v>
      </c>
      <c r="I27" s="16" t="s">
        <v>704</v>
      </c>
      <c r="J27" s="36"/>
      <c r="K27" s="17"/>
      <c r="L27" s="17"/>
    </row>
    <row r="28" spans="1:26" x14ac:dyDescent="0.3">
      <c r="A28" s="80"/>
      <c r="B28" s="14" t="s">
        <v>703</v>
      </c>
      <c r="C28" s="37" t="s">
        <v>705</v>
      </c>
      <c r="I28" s="16" t="s">
        <v>705</v>
      </c>
      <c r="J28" s="36"/>
      <c r="K28" s="17"/>
      <c r="L28" s="17"/>
    </row>
    <row r="29" spans="1:26" x14ac:dyDescent="0.3">
      <c r="A29" s="80"/>
      <c r="B29" s="14" t="s">
        <v>726</v>
      </c>
      <c r="C29" s="37" t="s">
        <v>727</v>
      </c>
      <c r="I29" s="16" t="s">
        <v>727</v>
      </c>
      <c r="J29" s="36"/>
      <c r="K29" s="17"/>
      <c r="L29" s="17"/>
    </row>
    <row r="30" spans="1:26" thickBot="1" x14ac:dyDescent="0.3">
      <c r="A30" s="81"/>
      <c r="B30" s="15" t="s">
        <v>539</v>
      </c>
      <c r="C30" s="15" t="s">
        <v>540</v>
      </c>
      <c r="D30" s="15"/>
      <c r="E30" s="15"/>
      <c r="F30" s="15"/>
      <c r="G30" s="15"/>
      <c r="H30" s="15"/>
      <c r="I30" s="15"/>
      <c r="J30" s="36"/>
      <c r="T30" s="15" t="s">
        <v>541</v>
      </c>
      <c r="X30" s="15"/>
      <c r="Y30" s="15"/>
      <c r="Z30" s="15"/>
    </row>
    <row r="31" spans="1:26" x14ac:dyDescent="0.3">
      <c r="A31" s="79" t="s">
        <v>16</v>
      </c>
      <c r="B31" s="20" t="s">
        <v>27</v>
      </c>
      <c r="C31" s="39"/>
      <c r="D31" s="44"/>
      <c r="E31" s="44" t="s">
        <v>458</v>
      </c>
      <c r="F31" s="44"/>
      <c r="G31" s="44"/>
      <c r="H31" s="44"/>
      <c r="I31" s="44" t="s">
        <v>193</v>
      </c>
      <c r="J31" s="48"/>
      <c r="K31" s="50" t="s">
        <v>182</v>
      </c>
      <c r="L31" s="50"/>
      <c r="M31" s="46"/>
      <c r="N31" s="46"/>
      <c r="O31" s="15" t="s">
        <v>193</v>
      </c>
      <c r="P31" s="15" t="s">
        <v>422</v>
      </c>
      <c r="R31" s="15" t="s">
        <v>422</v>
      </c>
      <c r="T31" s="15" t="s">
        <v>422</v>
      </c>
      <c r="X31" s="44" t="s">
        <v>422</v>
      </c>
      <c r="Y31" s="44" t="s">
        <v>422</v>
      </c>
      <c r="Z31" s="44" t="s">
        <v>422</v>
      </c>
    </row>
    <row r="32" spans="1:26" x14ac:dyDescent="0.3">
      <c r="A32" s="80"/>
      <c r="B32" s="21" t="s">
        <v>9</v>
      </c>
      <c r="C32" s="37"/>
      <c r="D32" s="44" t="s">
        <v>287</v>
      </c>
      <c r="E32" s="44" t="s">
        <v>287</v>
      </c>
      <c r="F32" s="44"/>
      <c r="G32" s="46" t="s">
        <v>225</v>
      </c>
      <c r="H32" s="44" t="s">
        <v>287</v>
      </c>
      <c r="I32" s="44" t="s">
        <v>423</v>
      </c>
      <c r="J32" s="48" t="s">
        <v>133</v>
      </c>
      <c r="K32" s="50" t="s">
        <v>183</v>
      </c>
      <c r="L32" s="50"/>
      <c r="M32" s="46"/>
      <c r="N32" s="46" t="s">
        <v>225</v>
      </c>
      <c r="P32" s="15" t="s">
        <v>423</v>
      </c>
      <c r="S32" s="15" t="s">
        <v>491</v>
      </c>
      <c r="U32" s="15" t="s">
        <v>225</v>
      </c>
      <c r="X32" s="44"/>
      <c r="Y32" s="44"/>
      <c r="Z32" s="44"/>
    </row>
    <row r="33" spans="1:26" x14ac:dyDescent="0.3">
      <c r="A33" s="80"/>
      <c r="B33" s="21" t="s">
        <v>34</v>
      </c>
      <c r="C33" s="37"/>
      <c r="D33" s="44"/>
      <c r="E33" s="44"/>
      <c r="F33" s="44"/>
      <c r="G33" s="46"/>
      <c r="H33" s="44"/>
      <c r="I33" s="44"/>
      <c r="J33" s="46" t="s">
        <v>129</v>
      </c>
      <c r="K33" s="50" t="s">
        <v>184</v>
      </c>
      <c r="L33" s="50"/>
      <c r="M33" s="46"/>
      <c r="N33" s="46" t="s">
        <v>226</v>
      </c>
      <c r="S33" s="15" t="s">
        <v>492</v>
      </c>
      <c r="X33" s="44"/>
      <c r="Y33" s="44"/>
      <c r="Z33" s="44"/>
    </row>
    <row r="34" spans="1:26" x14ac:dyDescent="0.3">
      <c r="A34" s="80"/>
      <c r="B34" s="21" t="s">
        <v>32</v>
      </c>
      <c r="C34" s="37"/>
      <c r="D34" s="44"/>
      <c r="E34" s="44"/>
      <c r="F34" s="44" t="s">
        <v>227</v>
      </c>
      <c r="G34" s="46" t="s">
        <v>227</v>
      </c>
      <c r="H34" s="44"/>
      <c r="I34" s="44"/>
      <c r="J34" s="48" t="s">
        <v>130</v>
      </c>
      <c r="K34" s="50"/>
      <c r="L34" s="50"/>
      <c r="M34" s="46"/>
      <c r="N34" s="46" t="s">
        <v>227</v>
      </c>
      <c r="Q34" s="15" t="s">
        <v>227</v>
      </c>
      <c r="S34" s="15" t="s">
        <v>493</v>
      </c>
      <c r="V34" s="15" t="s">
        <v>227</v>
      </c>
      <c r="X34" s="44"/>
      <c r="Y34" s="44"/>
      <c r="Z34" s="44"/>
    </row>
    <row r="35" spans="1:26" x14ac:dyDescent="0.3">
      <c r="A35" s="80"/>
      <c r="B35" s="21" t="s">
        <v>33</v>
      </c>
      <c r="C35" s="37"/>
      <c r="D35" s="44"/>
      <c r="E35" s="44"/>
      <c r="F35" s="44"/>
      <c r="G35" s="44"/>
      <c r="H35" s="44"/>
      <c r="I35" s="44"/>
      <c r="J35" s="48"/>
      <c r="K35" s="50"/>
      <c r="L35" s="50"/>
      <c r="M35" s="46"/>
      <c r="N35" s="46"/>
      <c r="X35" s="44"/>
      <c r="Y35" s="44"/>
      <c r="Z35" s="44"/>
    </row>
    <row r="36" spans="1:26" x14ac:dyDescent="0.3">
      <c r="A36" s="80"/>
      <c r="B36" s="21" t="s">
        <v>123</v>
      </c>
      <c r="C36" s="37"/>
      <c r="D36" s="44"/>
      <c r="E36" s="44"/>
      <c r="F36" s="44"/>
      <c r="G36" s="44"/>
      <c r="H36" s="44"/>
      <c r="I36" s="44"/>
      <c r="J36" s="48" t="s">
        <v>128</v>
      </c>
      <c r="K36" s="50"/>
      <c r="L36" s="50"/>
      <c r="M36" s="46"/>
      <c r="N36" s="46"/>
      <c r="X36" s="44"/>
      <c r="Y36" s="44"/>
      <c r="Z36" s="44"/>
    </row>
    <row r="37" spans="1:26" x14ac:dyDescent="0.3">
      <c r="A37" s="80"/>
      <c r="B37" s="21" t="s">
        <v>275</v>
      </c>
      <c r="C37" s="37"/>
      <c r="D37" s="44"/>
      <c r="E37" s="44"/>
      <c r="F37" s="44"/>
      <c r="G37" s="44"/>
      <c r="H37" s="44"/>
      <c r="I37" s="44"/>
      <c r="J37" s="48"/>
      <c r="K37" s="50"/>
      <c r="L37" s="50"/>
      <c r="M37" s="46"/>
      <c r="N37" s="46"/>
      <c r="X37" s="44"/>
      <c r="Y37" s="44"/>
      <c r="Z37" s="44"/>
    </row>
    <row r="38" spans="1:26" x14ac:dyDescent="0.3">
      <c r="A38" s="80"/>
      <c r="B38" s="21" t="s">
        <v>124</v>
      </c>
      <c r="C38" s="37"/>
      <c r="D38" s="44"/>
      <c r="E38" s="44"/>
      <c r="F38" s="44" t="s">
        <v>321</v>
      </c>
      <c r="G38" s="44"/>
      <c r="H38" s="44"/>
      <c r="I38" s="44"/>
      <c r="J38" s="48" t="s">
        <v>127</v>
      </c>
      <c r="K38" s="50"/>
      <c r="L38" s="50"/>
      <c r="M38" s="46"/>
      <c r="N38" s="46" t="s">
        <v>228</v>
      </c>
      <c r="X38" s="44"/>
      <c r="Y38" s="44"/>
      <c r="Z38" s="44"/>
    </row>
    <row r="39" spans="1:26" x14ac:dyDescent="0.3">
      <c r="A39" s="80"/>
      <c r="B39" s="21" t="s">
        <v>276</v>
      </c>
      <c r="C39" s="37"/>
      <c r="D39" s="44"/>
      <c r="E39" s="44"/>
      <c r="F39" s="44"/>
      <c r="G39" s="44"/>
      <c r="H39" s="44"/>
      <c r="I39" s="44"/>
      <c r="J39" s="48"/>
      <c r="K39" s="50"/>
      <c r="L39" s="50"/>
      <c r="M39" s="46"/>
      <c r="N39" s="46"/>
      <c r="X39" s="44"/>
      <c r="Y39" s="44"/>
      <c r="Z39" s="44"/>
    </row>
    <row r="40" spans="1:26" x14ac:dyDescent="0.3">
      <c r="A40" s="80"/>
      <c r="B40" s="21" t="s">
        <v>131</v>
      </c>
      <c r="C40" s="37"/>
      <c r="D40" s="44"/>
      <c r="E40" s="44"/>
      <c r="F40" s="44"/>
      <c r="G40" s="44"/>
      <c r="H40" s="44"/>
      <c r="I40" s="44"/>
      <c r="J40" s="48" t="s">
        <v>132</v>
      </c>
      <c r="K40" s="50"/>
      <c r="L40" s="50"/>
      <c r="M40" s="46"/>
      <c r="N40" s="46"/>
      <c r="X40" s="44"/>
      <c r="Y40" s="44"/>
      <c r="Z40" s="44"/>
    </row>
    <row r="41" spans="1:26" x14ac:dyDescent="0.3">
      <c r="A41" s="80"/>
      <c r="B41" s="21" t="s">
        <v>571</v>
      </c>
      <c r="C41" s="37"/>
      <c r="D41" s="44"/>
      <c r="E41" s="44"/>
      <c r="F41" s="44"/>
      <c r="G41" s="44"/>
      <c r="H41" s="44"/>
      <c r="I41" s="44"/>
      <c r="J41" s="48"/>
      <c r="K41" s="50"/>
      <c r="L41" s="50"/>
      <c r="M41" s="46"/>
      <c r="N41" s="46"/>
      <c r="W41" s="15" t="s">
        <v>572</v>
      </c>
      <c r="X41" s="44"/>
      <c r="Y41" s="44"/>
      <c r="Z41" s="44"/>
    </row>
    <row r="42" spans="1:26" x14ac:dyDescent="0.3">
      <c r="A42" s="80"/>
      <c r="B42" s="21" t="s">
        <v>125</v>
      </c>
      <c r="C42" s="37"/>
      <c r="D42" s="44"/>
      <c r="E42" s="44"/>
      <c r="F42" s="44"/>
      <c r="G42" s="44"/>
      <c r="H42" s="44"/>
      <c r="I42" s="44"/>
      <c r="J42" s="48" t="s">
        <v>126</v>
      </c>
      <c r="K42" s="50"/>
      <c r="L42" s="50"/>
      <c r="M42" s="46"/>
      <c r="N42" s="46"/>
      <c r="X42" s="44"/>
      <c r="Y42" s="44"/>
      <c r="Z42" s="44"/>
    </row>
    <row r="43" spans="1:26" x14ac:dyDescent="0.3">
      <c r="A43" s="80"/>
      <c r="B43" s="21" t="s">
        <v>194</v>
      </c>
      <c r="C43" s="37" t="s">
        <v>195</v>
      </c>
      <c r="D43" s="44"/>
      <c r="E43" s="44"/>
      <c r="F43" s="44"/>
      <c r="G43" s="44"/>
      <c r="H43" s="44"/>
      <c r="I43" s="44"/>
      <c r="J43" s="48"/>
      <c r="K43" s="50"/>
      <c r="L43" s="50" t="s">
        <v>195</v>
      </c>
      <c r="M43" s="50" t="s">
        <v>195</v>
      </c>
      <c r="N43" s="46"/>
      <c r="X43" s="44"/>
      <c r="Y43" s="44"/>
      <c r="Z43" s="44"/>
    </row>
    <row r="44" spans="1:26" x14ac:dyDescent="0.3">
      <c r="A44" s="80"/>
      <c r="B44" s="21" t="s">
        <v>88</v>
      </c>
      <c r="C44" s="40" t="s">
        <v>92</v>
      </c>
      <c r="D44" s="44"/>
      <c r="E44" s="44"/>
      <c r="F44" s="44"/>
      <c r="G44" s="44"/>
      <c r="H44" s="44"/>
      <c r="I44" s="44"/>
      <c r="J44" s="48"/>
      <c r="K44" s="50"/>
      <c r="L44" s="50" t="s">
        <v>92</v>
      </c>
      <c r="M44" s="50" t="s">
        <v>92</v>
      </c>
      <c r="N44" s="46"/>
      <c r="S44" s="15" t="s">
        <v>496</v>
      </c>
      <c r="X44" s="44"/>
      <c r="Y44" s="44"/>
      <c r="Z44" s="44"/>
    </row>
    <row r="45" spans="1:26" x14ac:dyDescent="0.3">
      <c r="A45" s="80"/>
      <c r="B45" s="21" t="s">
        <v>495</v>
      </c>
      <c r="C45" s="40"/>
      <c r="D45" s="44"/>
      <c r="E45" s="44"/>
      <c r="F45" s="44"/>
      <c r="G45" s="44"/>
      <c r="H45" s="44"/>
      <c r="I45" s="44"/>
      <c r="J45" s="48"/>
      <c r="K45" s="50"/>
      <c r="L45" s="50"/>
      <c r="M45" s="50"/>
      <c r="N45" s="46"/>
      <c r="S45" s="15" t="s">
        <v>497</v>
      </c>
      <c r="X45" s="44"/>
      <c r="Y45" s="44"/>
      <c r="Z45" s="44"/>
    </row>
    <row r="46" spans="1:26" x14ac:dyDescent="0.3">
      <c r="A46" s="80"/>
      <c r="B46" s="21" t="s">
        <v>498</v>
      </c>
      <c r="C46" s="40"/>
      <c r="D46" s="44"/>
      <c r="E46" s="44"/>
      <c r="F46" s="44"/>
      <c r="G46" s="44"/>
      <c r="H46" s="44"/>
      <c r="I46" s="44"/>
      <c r="J46" s="48"/>
      <c r="K46" s="50"/>
      <c r="L46" s="50"/>
      <c r="M46" s="50"/>
      <c r="N46" s="46"/>
      <c r="S46" s="15" t="s">
        <v>499</v>
      </c>
      <c r="X46" s="44"/>
      <c r="Y46" s="44"/>
      <c r="Z46" s="44"/>
    </row>
    <row r="47" spans="1:26" x14ac:dyDescent="0.3">
      <c r="A47" s="80"/>
      <c r="B47" s="21" t="s">
        <v>500</v>
      </c>
      <c r="C47" s="40"/>
      <c r="D47" s="44"/>
      <c r="E47" s="44"/>
      <c r="F47" s="44"/>
      <c r="G47" s="44"/>
      <c r="H47" s="44"/>
      <c r="I47" s="44"/>
      <c r="J47" s="48"/>
      <c r="K47" s="50"/>
      <c r="L47" s="50"/>
      <c r="M47" s="50"/>
      <c r="N47" s="46"/>
      <c r="S47" s="15" t="s">
        <v>501</v>
      </c>
      <c r="X47" s="44"/>
      <c r="Y47" s="44"/>
      <c r="Z47" s="44"/>
    </row>
    <row r="48" spans="1:26" x14ac:dyDescent="0.3">
      <c r="A48" s="80"/>
      <c r="B48" s="21" t="s">
        <v>502</v>
      </c>
      <c r="C48" s="40"/>
      <c r="D48" s="44"/>
      <c r="E48" s="44"/>
      <c r="F48" s="44"/>
      <c r="G48" s="44"/>
      <c r="H48" s="44"/>
      <c r="I48" s="44"/>
      <c r="J48" s="48"/>
      <c r="K48" s="50"/>
      <c r="L48" s="50"/>
      <c r="M48" s="50"/>
      <c r="N48" s="46"/>
      <c r="S48" s="15" t="s">
        <v>503</v>
      </c>
      <c r="X48" s="44"/>
      <c r="Y48" s="44"/>
      <c r="Z48" s="44"/>
    </row>
    <row r="49" spans="1:26" x14ac:dyDescent="0.3">
      <c r="A49" s="80"/>
      <c r="B49" s="21" t="s">
        <v>504</v>
      </c>
      <c r="C49" s="40"/>
      <c r="D49" s="44"/>
      <c r="E49" s="44"/>
      <c r="F49" s="44"/>
      <c r="G49" s="44"/>
      <c r="H49" s="44"/>
      <c r="I49" s="44"/>
      <c r="J49" s="48"/>
      <c r="K49" s="50"/>
      <c r="L49" s="50"/>
      <c r="M49" s="50"/>
      <c r="N49" s="46"/>
      <c r="S49" s="15" t="s">
        <v>505</v>
      </c>
      <c r="X49" s="44"/>
      <c r="Y49" s="44"/>
      <c r="Z49" s="44"/>
    </row>
    <row r="50" spans="1:26" ht="12.5" thickBot="1" x14ac:dyDescent="0.35">
      <c r="A50" s="81"/>
      <c r="B50" s="22" t="s">
        <v>89</v>
      </c>
      <c r="C50" s="41" t="s">
        <v>91</v>
      </c>
      <c r="D50" s="44"/>
      <c r="E50" s="44"/>
      <c r="F50" s="44"/>
      <c r="G50" s="44"/>
      <c r="H50" s="44"/>
      <c r="I50" s="44"/>
      <c r="J50" s="48"/>
      <c r="K50" s="50"/>
      <c r="L50" s="50" t="s">
        <v>91</v>
      </c>
      <c r="M50" s="50" t="s">
        <v>91</v>
      </c>
      <c r="N50" s="46"/>
      <c r="X50" s="44"/>
      <c r="Y50" s="44"/>
      <c r="Z50" s="44"/>
    </row>
    <row r="51" spans="1:26" x14ac:dyDescent="0.3">
      <c r="A51" s="79" t="s">
        <v>19</v>
      </c>
      <c r="B51" s="18" t="s">
        <v>35</v>
      </c>
      <c r="C51" s="35" t="s">
        <v>93</v>
      </c>
      <c r="D51" s="44"/>
      <c r="E51" s="44"/>
      <c r="F51" s="44"/>
      <c r="G51" s="44"/>
      <c r="H51" s="44"/>
      <c r="I51" s="44"/>
      <c r="J51" s="48"/>
      <c r="K51" s="50"/>
      <c r="L51" s="50"/>
      <c r="M51" s="46"/>
      <c r="N51" s="46" t="s">
        <v>229</v>
      </c>
      <c r="R51" s="15" t="s">
        <v>93</v>
      </c>
      <c r="S51" s="15" t="s">
        <v>93</v>
      </c>
      <c r="T51" s="15" t="s">
        <v>93</v>
      </c>
      <c r="U51" s="15" t="s">
        <v>93</v>
      </c>
      <c r="W51" s="15" t="s">
        <v>93</v>
      </c>
      <c r="X51" s="44" t="s">
        <v>93</v>
      </c>
      <c r="Y51" s="44" t="s">
        <v>93</v>
      </c>
      <c r="Z51" s="44" t="s">
        <v>93</v>
      </c>
    </row>
    <row r="52" spans="1:26" ht="12.5" thickBot="1" x14ac:dyDescent="0.35">
      <c r="A52" s="81"/>
      <c r="B52" s="19" t="s">
        <v>21</v>
      </c>
      <c r="C52" s="42" t="s">
        <v>94</v>
      </c>
      <c r="D52" s="44"/>
      <c r="E52" s="44" t="s">
        <v>94</v>
      </c>
      <c r="F52" s="44" t="s">
        <v>94</v>
      </c>
      <c r="G52" s="44" t="s">
        <v>94</v>
      </c>
      <c r="H52" s="44" t="s">
        <v>94</v>
      </c>
      <c r="I52" s="44" t="s">
        <v>94</v>
      </c>
      <c r="J52" s="48"/>
      <c r="K52" s="50"/>
      <c r="L52" s="50" t="s">
        <v>196</v>
      </c>
      <c r="M52" s="50" t="s">
        <v>196</v>
      </c>
      <c r="N52" s="46" t="s">
        <v>196</v>
      </c>
      <c r="O52" s="15" t="s">
        <v>196</v>
      </c>
      <c r="P52" s="15" t="s">
        <v>196</v>
      </c>
      <c r="Q52" s="15" t="s">
        <v>196</v>
      </c>
      <c r="X52" s="44" t="s">
        <v>94</v>
      </c>
      <c r="Y52" s="44"/>
      <c r="Z52" s="44"/>
    </row>
    <row r="53" spans="1:26" x14ac:dyDescent="0.3">
      <c r="A53" s="79" t="s">
        <v>17</v>
      </c>
      <c r="B53" s="18" t="s">
        <v>36</v>
      </c>
      <c r="C53" s="35" t="s">
        <v>378</v>
      </c>
      <c r="D53" s="44"/>
      <c r="E53" s="44"/>
      <c r="F53" s="44"/>
      <c r="G53" s="44"/>
      <c r="H53" s="44"/>
      <c r="I53" s="44"/>
      <c r="J53" s="48"/>
      <c r="K53" s="50"/>
      <c r="L53" s="50"/>
      <c r="M53" s="50"/>
      <c r="N53" s="46"/>
      <c r="X53" s="44"/>
      <c r="Y53" s="44"/>
      <c r="Z53" s="44"/>
    </row>
    <row r="54" spans="1:26" x14ac:dyDescent="0.3">
      <c r="A54" s="80"/>
      <c r="B54" s="14" t="s">
        <v>10</v>
      </c>
      <c r="C54" s="36" t="s">
        <v>741</v>
      </c>
      <c r="D54" s="44" t="s">
        <v>95</v>
      </c>
      <c r="E54" s="44" t="s">
        <v>95</v>
      </c>
      <c r="F54" s="44" t="s">
        <v>95</v>
      </c>
      <c r="G54" s="44" t="s">
        <v>95</v>
      </c>
      <c r="H54" s="44" t="s">
        <v>95</v>
      </c>
      <c r="I54" s="44" t="s">
        <v>95</v>
      </c>
      <c r="J54" s="48"/>
      <c r="K54" s="50"/>
      <c r="L54" s="50" t="s">
        <v>95</v>
      </c>
      <c r="M54" s="50" t="s">
        <v>95</v>
      </c>
      <c r="N54" s="46" t="s">
        <v>95</v>
      </c>
      <c r="O54" s="15" t="s">
        <v>95</v>
      </c>
      <c r="P54" s="15" t="s">
        <v>95</v>
      </c>
      <c r="Q54" s="15" t="s">
        <v>95</v>
      </c>
      <c r="R54" s="15" t="s">
        <v>95</v>
      </c>
      <c r="S54" s="15" t="s">
        <v>95</v>
      </c>
      <c r="T54" s="15" t="s">
        <v>95</v>
      </c>
      <c r="U54" s="15" t="s">
        <v>95</v>
      </c>
      <c r="W54" s="15" t="s">
        <v>95</v>
      </c>
      <c r="X54" s="44" t="s">
        <v>95</v>
      </c>
      <c r="Y54" s="44" t="s">
        <v>95</v>
      </c>
      <c r="Z54" s="44" t="s">
        <v>95</v>
      </c>
    </row>
    <row r="55" spans="1:26" x14ac:dyDescent="0.3">
      <c r="A55" s="80"/>
      <c r="B55" s="14" t="s">
        <v>415</v>
      </c>
      <c r="C55" s="36" t="s">
        <v>416</v>
      </c>
      <c r="D55" s="44"/>
      <c r="E55" s="44"/>
      <c r="F55" s="44"/>
      <c r="G55" s="44"/>
      <c r="H55" s="44"/>
      <c r="I55" s="44"/>
      <c r="J55" s="48"/>
      <c r="K55" s="50"/>
      <c r="L55" s="50"/>
      <c r="M55" s="50"/>
      <c r="N55" s="46"/>
      <c r="X55" s="44"/>
      <c r="Y55" s="44"/>
      <c r="Z55" s="44"/>
    </row>
    <row r="56" spans="1:26" ht="12.5" thickBot="1" x14ac:dyDescent="0.35">
      <c r="A56" s="81"/>
      <c r="B56" s="19" t="s">
        <v>37</v>
      </c>
      <c r="C56" s="42" t="s">
        <v>379</v>
      </c>
      <c r="D56" s="44" t="s">
        <v>96</v>
      </c>
      <c r="E56" s="44"/>
      <c r="F56" s="44"/>
      <c r="G56" s="44"/>
      <c r="H56" s="44" t="s">
        <v>96</v>
      </c>
      <c r="I56" s="44"/>
      <c r="J56" s="48"/>
      <c r="K56" s="50"/>
      <c r="L56" s="50"/>
      <c r="M56" s="50"/>
      <c r="N56" s="46"/>
      <c r="X56" s="44"/>
      <c r="Y56" s="44"/>
      <c r="Z56" s="44"/>
    </row>
    <row r="57" spans="1:26" x14ac:dyDescent="0.3">
      <c r="A57" s="79" t="s">
        <v>18</v>
      </c>
      <c r="B57" s="18" t="s">
        <v>11</v>
      </c>
      <c r="C57" s="35" t="s">
        <v>97</v>
      </c>
      <c r="D57" s="44"/>
      <c r="E57" s="44" t="s">
        <v>97</v>
      </c>
      <c r="F57" s="44" t="s">
        <v>97</v>
      </c>
      <c r="G57" s="44" t="s">
        <v>97</v>
      </c>
      <c r="H57" s="44"/>
      <c r="I57" s="44" t="s">
        <v>97</v>
      </c>
      <c r="J57" s="48"/>
      <c r="K57" s="50"/>
      <c r="L57" s="50" t="s">
        <v>11</v>
      </c>
      <c r="M57" s="50" t="s">
        <v>11</v>
      </c>
      <c r="N57" s="46" t="s">
        <v>11</v>
      </c>
      <c r="O57" s="15" t="s">
        <v>18</v>
      </c>
      <c r="P57" s="15" t="s">
        <v>18</v>
      </c>
      <c r="Q57" s="15" t="s">
        <v>18</v>
      </c>
      <c r="R57" s="15" t="s">
        <v>18</v>
      </c>
      <c r="S57" s="15" t="s">
        <v>97</v>
      </c>
      <c r="T57" s="15" t="s">
        <v>97</v>
      </c>
      <c r="U57" s="15" t="s">
        <v>97</v>
      </c>
      <c r="W57" s="15" t="s">
        <v>97</v>
      </c>
      <c r="X57" s="44" t="s">
        <v>97</v>
      </c>
      <c r="Y57" s="44" t="s">
        <v>97</v>
      </c>
      <c r="Z57" s="44" t="s">
        <v>97</v>
      </c>
    </row>
    <row r="58" spans="1:26" ht="12.5" thickBot="1" x14ac:dyDescent="0.35">
      <c r="A58" s="81"/>
      <c r="B58" s="19" t="s">
        <v>38</v>
      </c>
      <c r="C58" s="42" t="s">
        <v>98</v>
      </c>
      <c r="D58" s="44"/>
      <c r="E58" s="44"/>
      <c r="F58" s="44"/>
      <c r="G58" s="44"/>
      <c r="H58" s="44"/>
      <c r="I58" s="44"/>
      <c r="J58" s="48"/>
      <c r="K58" s="50"/>
      <c r="L58" s="50"/>
      <c r="M58" s="50"/>
      <c r="N58" s="46" t="s">
        <v>38</v>
      </c>
      <c r="X58" s="44"/>
      <c r="Y58" s="44"/>
      <c r="Z58" s="44"/>
    </row>
    <row r="59" spans="1:26" x14ac:dyDescent="0.3">
      <c r="A59" s="79" t="s">
        <v>25</v>
      </c>
      <c r="B59" s="18" t="s">
        <v>47</v>
      </c>
      <c r="C59" s="35" t="s">
        <v>673</v>
      </c>
      <c r="D59" s="44"/>
      <c r="E59" s="44"/>
      <c r="F59" s="44"/>
      <c r="G59" s="44"/>
      <c r="H59" s="44"/>
      <c r="I59" s="44"/>
      <c r="J59" s="48"/>
      <c r="K59" s="50"/>
      <c r="L59" s="50"/>
      <c r="M59" s="50"/>
      <c r="N59" s="46"/>
      <c r="X59" s="44"/>
      <c r="Y59" s="44"/>
      <c r="Z59" s="44"/>
    </row>
    <row r="60" spans="1:26" x14ac:dyDescent="0.3">
      <c r="A60" s="80"/>
      <c r="B60" s="14" t="s">
        <v>13</v>
      </c>
      <c r="C60" s="36" t="s">
        <v>674</v>
      </c>
      <c r="D60" s="44"/>
      <c r="E60" s="44" t="s">
        <v>99</v>
      </c>
      <c r="F60" s="44" t="s">
        <v>99</v>
      </c>
      <c r="G60" s="44" t="s">
        <v>99</v>
      </c>
      <c r="H60" s="44"/>
      <c r="I60" s="44"/>
      <c r="J60" s="48"/>
      <c r="K60" s="50"/>
      <c r="L60" s="50" t="s">
        <v>99</v>
      </c>
      <c r="M60" s="50" t="s">
        <v>99</v>
      </c>
      <c r="N60" s="46"/>
      <c r="O60" s="15" t="s">
        <v>99</v>
      </c>
      <c r="Q60" s="15" t="s">
        <v>99</v>
      </c>
      <c r="S60" s="15" t="s">
        <v>99</v>
      </c>
      <c r="U60" s="15" t="s">
        <v>99</v>
      </c>
      <c r="X60" s="44" t="s">
        <v>99</v>
      </c>
      <c r="Y60" s="44" t="s">
        <v>99</v>
      </c>
      <c r="Z60" s="44" t="s">
        <v>99</v>
      </c>
    </row>
    <row r="61" spans="1:26" x14ac:dyDescent="0.3">
      <c r="A61" s="80"/>
      <c r="B61" s="14" t="s">
        <v>48</v>
      </c>
      <c r="C61" s="36" t="s">
        <v>675</v>
      </c>
      <c r="D61" s="44"/>
      <c r="E61" s="44"/>
      <c r="F61" s="44"/>
      <c r="G61" s="44"/>
      <c r="H61" s="44"/>
      <c r="I61" s="44"/>
      <c r="J61" s="48"/>
      <c r="K61" s="50"/>
      <c r="L61" s="50"/>
      <c r="M61" s="46"/>
      <c r="N61" s="46" t="s">
        <v>100</v>
      </c>
      <c r="P61" s="36" t="s">
        <v>100</v>
      </c>
      <c r="R61" s="15" t="s">
        <v>100</v>
      </c>
      <c r="T61" s="15" t="s">
        <v>100</v>
      </c>
      <c r="X61" s="44"/>
      <c r="Y61" s="44"/>
      <c r="Z61" s="44"/>
    </row>
    <row r="62" spans="1:26" x14ac:dyDescent="0.3">
      <c r="A62" s="80"/>
      <c r="B62" s="14" t="s">
        <v>296</v>
      </c>
      <c r="C62" s="36" t="s">
        <v>299</v>
      </c>
      <c r="D62" s="44"/>
      <c r="E62" s="44"/>
      <c r="F62" s="44"/>
      <c r="G62" s="44"/>
      <c r="H62" s="44"/>
      <c r="I62" s="44" t="s">
        <v>299</v>
      </c>
      <c r="J62" s="48"/>
      <c r="K62" s="50"/>
      <c r="L62" s="50"/>
      <c r="M62" s="50"/>
      <c r="N62" s="46"/>
      <c r="X62" s="44"/>
      <c r="Y62" s="44"/>
      <c r="Z62" s="44"/>
    </row>
    <row r="63" spans="1:26" x14ac:dyDescent="0.3">
      <c r="A63" s="80"/>
      <c r="B63" s="14" t="s">
        <v>294</v>
      </c>
      <c r="C63" s="36" t="s">
        <v>298</v>
      </c>
      <c r="D63" s="44"/>
      <c r="E63" s="44"/>
      <c r="F63" s="44"/>
      <c r="G63" s="44"/>
      <c r="H63" s="44" t="s">
        <v>298</v>
      </c>
      <c r="I63" s="44"/>
      <c r="J63" s="48"/>
      <c r="K63" s="50"/>
      <c r="L63" s="50"/>
      <c r="M63" s="50"/>
      <c r="N63" s="46"/>
      <c r="X63" s="44"/>
      <c r="Y63" s="44"/>
      <c r="Z63" s="44"/>
    </row>
    <row r="64" spans="1:26" x14ac:dyDescent="0.3">
      <c r="A64" s="80"/>
      <c r="B64" s="14" t="s">
        <v>297</v>
      </c>
      <c r="C64" s="36" t="s">
        <v>300</v>
      </c>
      <c r="D64" s="44"/>
      <c r="E64" s="44"/>
      <c r="F64" s="44"/>
      <c r="G64" s="44"/>
      <c r="H64" s="44"/>
      <c r="I64" s="44"/>
      <c r="J64" s="48"/>
      <c r="K64" s="50"/>
      <c r="L64" s="50"/>
      <c r="M64" s="50"/>
      <c r="N64" s="46"/>
      <c r="X64" s="44"/>
      <c r="Y64" s="44"/>
      <c r="Z64" s="44"/>
    </row>
    <row r="65" spans="1:26" ht="12.5" thickBot="1" x14ac:dyDescent="0.35">
      <c r="A65" s="81"/>
      <c r="B65" s="19" t="s">
        <v>295</v>
      </c>
      <c r="C65" s="42" t="s">
        <v>301</v>
      </c>
      <c r="D65" s="44"/>
      <c r="E65" s="44"/>
      <c r="F65" s="44"/>
      <c r="G65" s="44"/>
      <c r="H65" s="44"/>
      <c r="I65" s="44"/>
      <c r="J65" s="48"/>
      <c r="K65" s="50"/>
      <c r="L65" s="50"/>
      <c r="M65" s="46"/>
      <c r="N65" s="46"/>
      <c r="X65" s="44"/>
      <c r="Y65" s="44"/>
      <c r="Z65" s="44"/>
    </row>
    <row r="66" spans="1:26" x14ac:dyDescent="0.3">
      <c r="A66" s="79" t="s">
        <v>26</v>
      </c>
      <c r="B66" s="20" t="s">
        <v>134</v>
      </c>
      <c r="C66" s="52" t="s">
        <v>135</v>
      </c>
      <c r="D66" s="51"/>
      <c r="E66" s="44"/>
      <c r="F66" s="44"/>
      <c r="G66" s="44" t="s">
        <v>135</v>
      </c>
      <c r="H66" s="44"/>
      <c r="I66" s="44"/>
      <c r="J66" s="48"/>
      <c r="K66" s="50"/>
      <c r="L66" s="50"/>
      <c r="M66" s="46"/>
      <c r="N66" s="46"/>
      <c r="P66" s="52" t="s">
        <v>135</v>
      </c>
      <c r="Q66" s="15" t="s">
        <v>135</v>
      </c>
      <c r="R66" s="15" t="s">
        <v>135</v>
      </c>
      <c r="T66" s="15" t="s">
        <v>135</v>
      </c>
      <c r="U66" s="15" t="s">
        <v>135</v>
      </c>
      <c r="X66" s="44"/>
      <c r="Y66" s="44"/>
      <c r="Z66" s="44"/>
    </row>
    <row r="67" spans="1:26" ht="14.5" customHeight="1" x14ac:dyDescent="0.3">
      <c r="A67" s="80"/>
      <c r="B67" s="21" t="s">
        <v>27</v>
      </c>
      <c r="C67" s="53" t="s">
        <v>101</v>
      </c>
      <c r="D67" s="51"/>
      <c r="E67" s="44"/>
      <c r="F67" s="44"/>
      <c r="G67" s="44"/>
      <c r="H67" s="44" t="s">
        <v>101</v>
      </c>
      <c r="I67" s="44"/>
      <c r="J67" s="48"/>
      <c r="K67" s="50"/>
      <c r="L67" s="50"/>
      <c r="M67" s="46"/>
      <c r="N67" s="46"/>
      <c r="O67" s="15" t="s">
        <v>101</v>
      </c>
      <c r="X67" s="44" t="s">
        <v>101</v>
      </c>
      <c r="Y67" s="44"/>
      <c r="Z67" s="44"/>
    </row>
    <row r="68" spans="1:26" ht="14.5" customHeight="1" x14ac:dyDescent="0.3">
      <c r="A68" s="80"/>
      <c r="B68" s="21" t="s">
        <v>9</v>
      </c>
      <c r="C68" s="53" t="s">
        <v>197</v>
      </c>
      <c r="D68" s="51"/>
      <c r="E68" s="44"/>
      <c r="F68" s="44"/>
      <c r="G68" s="44"/>
      <c r="H68" s="44"/>
      <c r="I68" s="44"/>
      <c r="J68" s="48"/>
      <c r="K68" s="50"/>
      <c r="L68" s="50"/>
      <c r="M68" s="46"/>
      <c r="N68" s="46"/>
      <c r="X68" s="44"/>
      <c r="Y68" s="44" t="s">
        <v>197</v>
      </c>
      <c r="Z68" s="44" t="s">
        <v>197</v>
      </c>
    </row>
    <row r="69" spans="1:26" ht="12.65" customHeight="1" x14ac:dyDescent="0.3">
      <c r="A69" s="80"/>
      <c r="B69" s="21" t="s">
        <v>34</v>
      </c>
      <c r="C69" s="53" t="s">
        <v>198</v>
      </c>
      <c r="D69" s="51"/>
      <c r="E69" s="44"/>
      <c r="F69" s="44"/>
      <c r="G69" s="44"/>
      <c r="H69" s="44"/>
      <c r="I69" s="44"/>
      <c r="J69" s="48"/>
      <c r="K69" s="50"/>
      <c r="L69" s="50"/>
      <c r="M69" s="46"/>
      <c r="N69" s="46"/>
      <c r="X69" s="44"/>
      <c r="Y69" s="44"/>
      <c r="Z69" s="44"/>
    </row>
    <row r="70" spans="1:26" ht="14.5" customHeight="1" x14ac:dyDescent="0.3">
      <c r="A70" s="80"/>
      <c r="B70" s="21" t="s">
        <v>32</v>
      </c>
      <c r="C70" s="53" t="s">
        <v>199</v>
      </c>
      <c r="D70" s="51"/>
      <c r="E70" s="44"/>
      <c r="F70" s="44"/>
      <c r="G70" s="44"/>
      <c r="H70" s="44"/>
      <c r="I70" s="44"/>
      <c r="J70" s="48"/>
      <c r="K70" s="50"/>
      <c r="L70" s="50"/>
      <c r="M70" s="46"/>
      <c r="N70" s="46"/>
      <c r="X70" s="44"/>
      <c r="Y70" s="44"/>
      <c r="Z70" s="44"/>
    </row>
    <row r="71" spans="1:26" ht="14.5" customHeight="1" x14ac:dyDescent="0.3">
      <c r="A71" s="80"/>
      <c r="B71" s="21" t="s">
        <v>33</v>
      </c>
      <c r="C71" s="53" t="s">
        <v>200</v>
      </c>
      <c r="D71" s="51"/>
      <c r="E71" s="44"/>
      <c r="F71" s="44"/>
      <c r="G71" s="44"/>
      <c r="H71" s="44"/>
      <c r="I71" s="44"/>
      <c r="J71" s="48"/>
      <c r="K71" s="50"/>
      <c r="L71" s="50" t="s">
        <v>200</v>
      </c>
      <c r="M71" s="50" t="s">
        <v>271</v>
      </c>
      <c r="N71" s="46"/>
      <c r="S71" s="15" t="s">
        <v>200</v>
      </c>
      <c r="X71" s="44"/>
      <c r="Y71" s="44"/>
      <c r="Z71" s="44"/>
    </row>
    <row r="72" spans="1:26" ht="14.5" customHeight="1" x14ac:dyDescent="0.3">
      <c r="A72" s="80"/>
      <c r="B72" s="21" t="s">
        <v>123</v>
      </c>
      <c r="C72" s="53" t="s">
        <v>214</v>
      </c>
      <c r="D72" s="51"/>
      <c r="E72" s="44"/>
      <c r="F72" s="44"/>
      <c r="G72" s="44"/>
      <c r="H72" s="44"/>
      <c r="I72" s="44"/>
      <c r="J72" s="48"/>
      <c r="K72" s="50"/>
      <c r="L72" s="46"/>
      <c r="M72" s="50" t="s">
        <v>214</v>
      </c>
      <c r="N72" s="46"/>
      <c r="X72" s="44"/>
      <c r="Y72" s="44"/>
      <c r="Z72" s="44"/>
    </row>
    <row r="73" spans="1:26" ht="14.5" customHeight="1" x14ac:dyDescent="0.3">
      <c r="A73" s="80"/>
      <c r="B73" s="21" t="s">
        <v>275</v>
      </c>
      <c r="C73" s="53" t="s">
        <v>288</v>
      </c>
      <c r="D73" s="51"/>
      <c r="E73" s="44" t="s">
        <v>288</v>
      </c>
      <c r="F73" s="44"/>
      <c r="G73" s="44"/>
      <c r="H73" s="44"/>
      <c r="I73" s="44"/>
      <c r="J73" s="48"/>
      <c r="K73" s="50"/>
      <c r="L73" s="46"/>
      <c r="M73" s="50"/>
      <c r="N73" s="46"/>
      <c r="X73" s="44"/>
      <c r="Y73" s="44"/>
      <c r="Z73" s="44"/>
    </row>
    <row r="74" spans="1:26" ht="14.5" customHeight="1" x14ac:dyDescent="0.3">
      <c r="A74" s="80"/>
      <c r="B74" s="21" t="s">
        <v>124</v>
      </c>
      <c r="C74" s="53" t="s">
        <v>312</v>
      </c>
      <c r="D74" s="51"/>
      <c r="E74" s="44"/>
      <c r="F74" s="44"/>
      <c r="G74" s="44"/>
      <c r="H74" s="44"/>
      <c r="I74" s="44" t="s">
        <v>312</v>
      </c>
      <c r="J74" s="48"/>
      <c r="K74" s="50"/>
      <c r="L74" s="46"/>
      <c r="M74" s="50"/>
      <c r="N74" s="46"/>
      <c r="X74" s="44"/>
      <c r="Y74" s="44"/>
      <c r="Z74" s="44"/>
    </row>
    <row r="75" spans="1:26" ht="15" customHeight="1" thickBot="1" x14ac:dyDescent="0.35">
      <c r="A75" s="80"/>
      <c r="B75" s="22" t="s">
        <v>276</v>
      </c>
      <c r="C75" s="54" t="s">
        <v>322</v>
      </c>
      <c r="D75" s="51"/>
      <c r="E75" s="44"/>
      <c r="F75" s="44" t="s">
        <v>322</v>
      </c>
      <c r="G75" s="44"/>
      <c r="H75" s="44"/>
      <c r="I75" s="44"/>
      <c r="J75" s="48"/>
      <c r="K75" s="50"/>
      <c r="L75" s="46"/>
      <c r="M75" s="50"/>
      <c r="N75" s="46"/>
      <c r="O75" s="15" t="s">
        <v>322</v>
      </c>
      <c r="X75" s="44"/>
      <c r="Y75" s="44"/>
      <c r="Z75" s="44"/>
    </row>
    <row r="76" spans="1:26" ht="14.5" customHeight="1" x14ac:dyDescent="0.25">
      <c r="A76" s="80"/>
      <c r="B76" s="15">
        <v>10</v>
      </c>
      <c r="C76" s="15" t="s">
        <v>466</v>
      </c>
      <c r="D76" s="15"/>
      <c r="E76" s="15"/>
      <c r="F76" s="15" t="s">
        <v>466</v>
      </c>
      <c r="G76" s="15"/>
      <c r="H76" s="15"/>
      <c r="I76" s="15"/>
      <c r="X76" s="15"/>
      <c r="Y76" s="15"/>
      <c r="Z76" s="15"/>
    </row>
    <row r="77" spans="1:26" ht="14.5" customHeight="1" x14ac:dyDescent="0.25">
      <c r="A77" s="80"/>
      <c r="B77" s="15">
        <v>11</v>
      </c>
      <c r="C77" s="15" t="s">
        <v>473</v>
      </c>
      <c r="D77" s="15"/>
      <c r="E77" s="15"/>
      <c r="F77" s="15"/>
      <c r="G77" s="15"/>
      <c r="H77" s="15"/>
      <c r="I77" s="15" t="s">
        <v>473</v>
      </c>
      <c r="X77" s="15"/>
      <c r="Y77" s="15"/>
      <c r="Z77" s="15"/>
    </row>
    <row r="78" spans="1:26" ht="14.5" customHeight="1" x14ac:dyDescent="0.25">
      <c r="A78" s="80"/>
      <c r="B78" s="15">
        <v>12</v>
      </c>
      <c r="C78" s="15" t="s">
        <v>669</v>
      </c>
      <c r="D78" s="15"/>
      <c r="E78" s="15"/>
      <c r="F78" s="15"/>
      <c r="G78" s="15"/>
      <c r="H78" s="15"/>
      <c r="I78" s="15"/>
      <c r="X78" s="15"/>
      <c r="Y78" s="15"/>
      <c r="Z78" s="15"/>
    </row>
    <row r="79" spans="1:26" ht="14.5" customHeight="1" x14ac:dyDescent="0.25">
      <c r="A79" s="80"/>
      <c r="B79" s="15">
        <v>13</v>
      </c>
      <c r="C79" s="15" t="s">
        <v>680</v>
      </c>
      <c r="D79" s="15"/>
      <c r="E79" s="15"/>
      <c r="F79" s="15"/>
      <c r="G79" s="15"/>
      <c r="H79" s="15"/>
      <c r="I79" s="15"/>
      <c r="X79" s="15"/>
      <c r="Y79" s="15"/>
      <c r="Z79" s="15"/>
    </row>
    <row r="80" spans="1:26" ht="15" customHeight="1" thickBot="1" x14ac:dyDescent="0.3">
      <c r="A80" s="81"/>
      <c r="B80" s="15">
        <v>14</v>
      </c>
      <c r="C80" s="15" t="s">
        <v>686</v>
      </c>
      <c r="D80" s="15"/>
      <c r="E80" s="15"/>
      <c r="F80" s="15"/>
      <c r="G80" s="15"/>
      <c r="H80" s="15"/>
      <c r="I80" s="15"/>
      <c r="X80" s="15"/>
      <c r="Y80" s="15"/>
      <c r="Z80" s="15"/>
    </row>
    <row r="81" spans="1:26" ht="12.5" thickBot="1" x14ac:dyDescent="0.35">
      <c r="A81" s="79" t="s">
        <v>28</v>
      </c>
      <c r="B81" s="18" t="s">
        <v>736</v>
      </c>
      <c r="C81" s="43" t="s">
        <v>737</v>
      </c>
      <c r="D81" s="44"/>
      <c r="E81" s="44"/>
      <c r="F81" s="44"/>
      <c r="G81" s="44"/>
      <c r="H81" s="44"/>
      <c r="I81" s="44" t="s">
        <v>736</v>
      </c>
      <c r="J81" s="48"/>
      <c r="K81" s="50"/>
      <c r="L81" s="50"/>
      <c r="M81" s="46"/>
      <c r="N81" s="46"/>
      <c r="X81" s="44"/>
      <c r="Y81" s="44" t="s">
        <v>102</v>
      </c>
      <c r="Z81" s="44" t="s">
        <v>102</v>
      </c>
    </row>
    <row r="82" spans="1:26" x14ac:dyDescent="0.3">
      <c r="A82" s="80"/>
      <c r="B82" s="18" t="s">
        <v>14</v>
      </c>
      <c r="C82" s="43" t="s">
        <v>102</v>
      </c>
      <c r="D82" s="44"/>
      <c r="E82" s="44"/>
      <c r="F82" s="44"/>
      <c r="G82" s="44"/>
      <c r="H82" s="44"/>
      <c r="I82" s="44"/>
      <c r="J82" s="48"/>
      <c r="K82" s="50"/>
      <c r="L82" s="50"/>
      <c r="M82" s="46"/>
      <c r="N82" s="46"/>
      <c r="X82" s="44"/>
      <c r="Y82" s="44" t="s">
        <v>102</v>
      </c>
      <c r="Z82" s="44" t="s">
        <v>102</v>
      </c>
    </row>
    <row r="83" spans="1:26" x14ac:dyDescent="0.3">
      <c r="A83" s="80"/>
      <c r="B83" s="14" t="s">
        <v>49</v>
      </c>
      <c r="C83" s="37" t="s">
        <v>103</v>
      </c>
      <c r="D83" s="44"/>
      <c r="E83" s="44" t="s">
        <v>103</v>
      </c>
      <c r="F83" s="44" t="s">
        <v>103</v>
      </c>
      <c r="G83" s="44"/>
      <c r="H83" s="44"/>
      <c r="I83" s="44"/>
      <c r="J83" s="48">
        <v>0</v>
      </c>
      <c r="K83" s="50"/>
      <c r="L83" s="50" t="s">
        <v>103</v>
      </c>
      <c r="M83" s="46"/>
      <c r="N83" s="50" t="s">
        <v>103</v>
      </c>
      <c r="P83" s="37" t="s">
        <v>103</v>
      </c>
      <c r="Q83" s="15" t="s">
        <v>103</v>
      </c>
      <c r="R83" s="15" t="s">
        <v>103</v>
      </c>
      <c r="S83" s="15" t="s">
        <v>103</v>
      </c>
      <c r="T83" s="15" t="s">
        <v>103</v>
      </c>
      <c r="X83" s="44"/>
      <c r="Y83" s="44"/>
      <c r="Z83" s="44"/>
    </row>
    <row r="84" spans="1:26" x14ac:dyDescent="0.3">
      <c r="A84" s="80"/>
      <c r="B84" s="14" t="s">
        <v>50</v>
      </c>
      <c r="C84" s="37" t="s">
        <v>313</v>
      </c>
      <c r="D84" s="44"/>
      <c r="E84" s="44"/>
      <c r="F84" s="44"/>
      <c r="G84" s="44"/>
      <c r="H84" s="44" t="s">
        <v>313</v>
      </c>
      <c r="I84" s="44" t="s">
        <v>313</v>
      </c>
      <c r="J84" s="48"/>
      <c r="K84" s="50"/>
      <c r="L84" s="50"/>
      <c r="M84" s="46"/>
      <c r="N84" s="46"/>
      <c r="O84" s="15" t="s">
        <v>313</v>
      </c>
      <c r="X84" s="44" t="s">
        <v>313</v>
      </c>
      <c r="Y84" s="44"/>
      <c r="Z84" s="44"/>
    </row>
    <row r="85" spans="1:26" x14ac:dyDescent="0.3">
      <c r="A85" s="80"/>
      <c r="B85" s="14" t="s">
        <v>51</v>
      </c>
      <c r="C85" s="37" t="s">
        <v>104</v>
      </c>
      <c r="D85" s="44"/>
      <c r="E85" s="44"/>
      <c r="F85" s="44"/>
      <c r="G85" s="44" t="s">
        <v>104</v>
      </c>
      <c r="H85" s="44"/>
      <c r="I85" s="44"/>
      <c r="J85" s="48"/>
      <c r="K85" s="50"/>
      <c r="L85" s="50"/>
      <c r="M85" s="46"/>
      <c r="N85" s="46"/>
      <c r="X85" s="44"/>
      <c r="Y85" s="44"/>
      <c r="Z85" s="44"/>
    </row>
    <row r="86" spans="1:26" x14ac:dyDescent="0.3">
      <c r="A86" s="80"/>
      <c r="B86" s="14" t="s">
        <v>375</v>
      </c>
      <c r="C86" s="37" t="s">
        <v>376</v>
      </c>
      <c r="D86" s="44"/>
      <c r="E86" s="44"/>
      <c r="F86" s="44"/>
      <c r="G86" s="44" t="s">
        <v>104</v>
      </c>
      <c r="H86" s="44"/>
      <c r="I86" s="44"/>
      <c r="J86" s="48"/>
      <c r="K86" s="46"/>
      <c r="L86" s="46"/>
      <c r="M86" s="46"/>
      <c r="N86" s="46"/>
      <c r="X86" s="44"/>
      <c r="Y86" s="44"/>
      <c r="Z86" s="44"/>
    </row>
    <row r="87" spans="1:26" thickBot="1" x14ac:dyDescent="0.3">
      <c r="A87" s="80"/>
      <c r="B87" s="15" t="s">
        <v>549</v>
      </c>
      <c r="C87" s="15" t="s">
        <v>550</v>
      </c>
      <c r="D87" s="15"/>
      <c r="E87" s="15"/>
      <c r="F87" s="15"/>
      <c r="G87" s="15"/>
      <c r="H87" s="15"/>
      <c r="I87" s="15"/>
      <c r="U87" s="15" t="s">
        <v>550</v>
      </c>
      <c r="X87" s="15"/>
      <c r="Y87" s="15"/>
      <c r="Z87" s="15"/>
    </row>
    <row r="88" spans="1:26" x14ac:dyDescent="0.3">
      <c r="A88" s="82" t="s">
        <v>345</v>
      </c>
      <c r="B88" s="18" t="s">
        <v>251</v>
      </c>
      <c r="C88" s="43" t="s">
        <v>245</v>
      </c>
      <c r="D88" s="64"/>
      <c r="E88" s="64"/>
      <c r="F88" s="64"/>
      <c r="G88" s="64"/>
      <c r="H88" s="64"/>
      <c r="I88" s="64"/>
      <c r="J88" s="63"/>
      <c r="K88" s="63"/>
      <c r="L88" s="63"/>
      <c r="M88" s="63"/>
      <c r="N88" s="63" t="s">
        <v>247</v>
      </c>
      <c r="O88" s="15" t="s">
        <v>245</v>
      </c>
      <c r="P88" s="43" t="s">
        <v>245</v>
      </c>
      <c r="X88" s="64" t="s">
        <v>245</v>
      </c>
      <c r="Y88" s="64" t="s">
        <v>245</v>
      </c>
      <c r="Z88" s="64" t="s">
        <v>245</v>
      </c>
    </row>
    <row r="89" spans="1:26" x14ac:dyDescent="0.3">
      <c r="A89" s="80"/>
      <c r="B89" s="14" t="s">
        <v>252</v>
      </c>
      <c r="C89" s="37" t="s">
        <v>246</v>
      </c>
      <c r="D89" s="44"/>
      <c r="E89" s="44" t="s">
        <v>246</v>
      </c>
      <c r="F89" s="44" t="s">
        <v>246</v>
      </c>
      <c r="G89" s="44" t="s">
        <v>246</v>
      </c>
      <c r="H89" s="44"/>
      <c r="I89" s="44" t="s">
        <v>246</v>
      </c>
      <c r="J89" s="46"/>
      <c r="K89" s="46"/>
      <c r="L89" s="46"/>
      <c r="M89" s="46"/>
      <c r="N89" s="46" t="s">
        <v>248</v>
      </c>
      <c r="Q89" s="15" t="s">
        <v>246</v>
      </c>
      <c r="R89" s="15" t="s">
        <v>246</v>
      </c>
      <c r="S89" s="15" t="s">
        <v>246</v>
      </c>
      <c r="T89" s="15" t="s">
        <v>246</v>
      </c>
      <c r="U89" s="15" t="s">
        <v>246</v>
      </c>
      <c r="W89" s="15" t="s">
        <v>246</v>
      </c>
      <c r="X89" s="44"/>
      <c r="Y89" s="44"/>
      <c r="Z89" s="44"/>
    </row>
    <row r="90" spans="1:26" x14ac:dyDescent="0.3">
      <c r="A90" s="80"/>
      <c r="B90" s="14" t="s">
        <v>364</v>
      </c>
      <c r="C90" s="37" t="s">
        <v>377</v>
      </c>
      <c r="D90" s="44"/>
      <c r="E90" s="44"/>
      <c r="F90" s="44"/>
      <c r="G90" s="44"/>
      <c r="H90" s="44"/>
      <c r="I90" s="44"/>
      <c r="J90" s="46"/>
      <c r="K90" s="46"/>
      <c r="L90" s="46"/>
      <c r="M90" s="46"/>
      <c r="N90" s="46"/>
      <c r="X90" s="44"/>
      <c r="Y90" s="44"/>
      <c r="Z90" s="44"/>
    </row>
    <row r="91" spans="1:26" ht="12.5" thickBot="1" x14ac:dyDescent="0.35">
      <c r="A91" s="81"/>
      <c r="B91" s="19"/>
      <c r="C91" s="38"/>
      <c r="D91" s="45"/>
      <c r="E91" s="45"/>
      <c r="F91" s="45"/>
      <c r="G91" s="45"/>
      <c r="H91" s="45"/>
      <c r="I91" s="45"/>
      <c r="J91" s="49"/>
      <c r="K91" s="49"/>
      <c r="L91" s="49"/>
      <c r="M91" s="49"/>
      <c r="N91" s="49"/>
      <c r="X91" s="45"/>
      <c r="Y91" s="45"/>
      <c r="Z91" s="45"/>
    </row>
    <row r="92" spans="1:26" thickBot="1" x14ac:dyDescent="0.3">
      <c r="A92" s="82" t="s">
        <v>334</v>
      </c>
      <c r="B92" s="15" t="s">
        <v>594</v>
      </c>
      <c r="C92" s="15" t="s">
        <v>595</v>
      </c>
      <c r="D92" s="15" t="s">
        <v>596</v>
      </c>
      <c r="E92" s="15"/>
      <c r="F92" s="15"/>
      <c r="G92" s="15"/>
      <c r="H92" s="15"/>
      <c r="I92" s="15"/>
      <c r="X92" s="15"/>
      <c r="Y92" s="15"/>
      <c r="Z92" s="15"/>
    </row>
    <row r="93" spans="1:26" x14ac:dyDescent="0.3">
      <c r="A93" s="83"/>
      <c r="B93" s="18" t="s">
        <v>266</v>
      </c>
      <c r="C93" s="43" t="s">
        <v>250</v>
      </c>
      <c r="D93" s="64"/>
      <c r="E93" s="64"/>
      <c r="F93" s="64"/>
      <c r="G93" s="64"/>
      <c r="H93" s="64"/>
      <c r="I93" s="64"/>
      <c r="J93" s="63"/>
      <c r="K93" s="63"/>
      <c r="L93" s="63"/>
      <c r="M93" s="63"/>
      <c r="N93" s="63" t="s">
        <v>265</v>
      </c>
      <c r="X93" s="64"/>
      <c r="Y93" s="64"/>
      <c r="Z93" s="64"/>
    </row>
    <row r="94" spans="1:26" x14ac:dyDescent="0.3">
      <c r="A94" s="80"/>
      <c r="B94" s="14" t="s">
        <v>267</v>
      </c>
      <c r="C94" s="37" t="s">
        <v>250</v>
      </c>
      <c r="D94" s="44"/>
      <c r="E94" s="44"/>
      <c r="F94" s="44"/>
      <c r="G94" s="44"/>
      <c r="H94" s="44"/>
      <c r="I94" s="44"/>
      <c r="J94" s="46"/>
      <c r="K94" s="46"/>
      <c r="L94" s="46"/>
      <c r="M94" s="46"/>
      <c r="N94" s="46" t="s">
        <v>268</v>
      </c>
      <c r="X94" s="44"/>
      <c r="Y94" s="44"/>
      <c r="Z94" s="44"/>
    </row>
    <row r="95" spans="1:26" x14ac:dyDescent="0.3">
      <c r="A95" s="80"/>
      <c r="B95" s="14" t="s">
        <v>363</v>
      </c>
      <c r="C95" s="37" t="s">
        <v>380</v>
      </c>
      <c r="D95" s="44"/>
      <c r="E95" s="44"/>
      <c r="F95" s="44"/>
      <c r="G95" s="44"/>
      <c r="H95" s="44"/>
      <c r="I95" s="44"/>
      <c r="J95" s="46"/>
      <c r="K95" s="46"/>
      <c r="L95" s="46"/>
      <c r="M95" s="46"/>
      <c r="N95" s="46"/>
      <c r="X95" s="44"/>
      <c r="Y95" s="44"/>
      <c r="Z95" s="44"/>
    </row>
    <row r="96" spans="1:26" x14ac:dyDescent="0.3">
      <c r="A96" s="80"/>
      <c r="B96" s="14" t="s">
        <v>408</v>
      </c>
      <c r="C96" s="37" t="s">
        <v>417</v>
      </c>
      <c r="D96" s="44"/>
      <c r="E96" s="44"/>
      <c r="F96" s="44"/>
      <c r="G96" s="44"/>
      <c r="H96" s="44"/>
      <c r="I96" s="44"/>
      <c r="J96" s="46"/>
      <c r="K96" s="46"/>
      <c r="L96" s="46"/>
      <c r="M96" s="46"/>
      <c r="N96" s="46"/>
      <c r="O96" s="15" t="s">
        <v>417</v>
      </c>
      <c r="X96" s="44"/>
      <c r="Y96" s="44"/>
      <c r="Z96" s="44"/>
    </row>
    <row r="97" spans="1:26" ht="12.5" thickBot="1" x14ac:dyDescent="0.35">
      <c r="A97" s="81"/>
      <c r="B97" s="19"/>
      <c r="C97" s="38"/>
      <c r="D97" s="45"/>
      <c r="E97" s="45"/>
      <c r="F97" s="45"/>
      <c r="G97" s="45"/>
      <c r="H97" s="45"/>
      <c r="I97" s="45"/>
      <c r="J97" s="49"/>
      <c r="K97" s="49"/>
      <c r="L97" s="49"/>
      <c r="M97" s="49"/>
      <c r="N97" s="49"/>
      <c r="X97" s="45"/>
      <c r="Y97" s="45"/>
      <c r="Z97" s="45"/>
    </row>
    <row r="98" spans="1:26" x14ac:dyDescent="0.3">
      <c r="A98" s="82" t="s">
        <v>333</v>
      </c>
      <c r="B98" s="18" t="s">
        <v>323</v>
      </c>
      <c r="C98" s="43" t="s">
        <v>324</v>
      </c>
      <c r="D98" s="64"/>
      <c r="E98" s="64"/>
      <c r="F98" s="64" t="s">
        <v>324</v>
      </c>
      <c r="G98" s="64"/>
      <c r="H98" s="64"/>
      <c r="I98" s="64"/>
      <c r="J98" s="63"/>
      <c r="K98" s="63"/>
      <c r="L98" s="63"/>
      <c r="M98" s="63"/>
      <c r="N98" s="63"/>
      <c r="X98" s="64"/>
      <c r="Y98" s="64"/>
      <c r="Z98" s="64"/>
    </row>
    <row r="99" spans="1:26" x14ac:dyDescent="0.3">
      <c r="A99" s="80"/>
      <c r="B99" s="14" t="s">
        <v>627</v>
      </c>
      <c r="C99" s="37" t="s">
        <v>381</v>
      </c>
      <c r="D99" s="44"/>
      <c r="E99" s="44"/>
      <c r="F99" s="44"/>
      <c r="G99" s="44"/>
      <c r="H99" s="44"/>
      <c r="I99" s="44"/>
      <c r="J99" s="46"/>
      <c r="K99" s="46"/>
      <c r="L99" s="46"/>
      <c r="M99" s="46"/>
      <c r="N99" s="46"/>
      <c r="X99" s="44"/>
      <c r="Y99" s="44"/>
      <c r="Z99" s="44"/>
    </row>
    <row r="100" spans="1:26" x14ac:dyDescent="0.3">
      <c r="A100" s="80"/>
      <c r="B100" s="14" t="s">
        <v>609</v>
      </c>
      <c r="C100" s="37" t="s">
        <v>628</v>
      </c>
      <c r="D100" s="44"/>
      <c r="E100" s="44"/>
      <c r="F100" s="44"/>
      <c r="G100" s="44"/>
      <c r="H100" s="44"/>
      <c r="I100" s="44"/>
      <c r="J100" s="46"/>
      <c r="K100" s="46"/>
      <c r="L100" s="46"/>
      <c r="M100" s="46"/>
      <c r="N100" s="46"/>
      <c r="X100" s="44" t="s">
        <v>610</v>
      </c>
      <c r="Y100" s="44"/>
      <c r="Z100" s="44"/>
    </row>
    <row r="101" spans="1:26" ht="12.5" thickBot="1" x14ac:dyDescent="0.35">
      <c r="A101" s="81"/>
      <c r="B101" s="19"/>
      <c r="C101" s="38"/>
      <c r="D101" s="45"/>
      <c r="E101" s="45"/>
      <c r="F101" s="45"/>
      <c r="G101" s="45"/>
      <c r="H101" s="45"/>
      <c r="I101" s="45"/>
      <c r="J101" s="49"/>
      <c r="K101" s="49"/>
      <c r="L101" s="49"/>
      <c r="M101" s="49"/>
      <c r="N101" s="49"/>
      <c r="X101" s="45"/>
      <c r="Y101" s="45"/>
      <c r="Z101" s="45"/>
    </row>
    <row r="102" spans="1:26" x14ac:dyDescent="0.3">
      <c r="A102" s="82" t="s">
        <v>346</v>
      </c>
      <c r="B102" s="18" t="s">
        <v>359</v>
      </c>
      <c r="C102" s="43" t="s">
        <v>382</v>
      </c>
      <c r="D102" s="64"/>
      <c r="E102" s="64"/>
      <c r="F102" s="64"/>
      <c r="G102" s="64"/>
      <c r="H102" s="64"/>
      <c r="I102" s="64"/>
      <c r="J102" s="63"/>
      <c r="K102" s="63"/>
      <c r="L102" s="63"/>
      <c r="M102" s="63"/>
      <c r="N102" s="63"/>
      <c r="X102" s="64"/>
      <c r="Y102" s="64"/>
      <c r="Z102" s="64"/>
    </row>
    <row r="103" spans="1:26" x14ac:dyDescent="0.3">
      <c r="A103" s="80"/>
      <c r="B103" s="14" t="s">
        <v>360</v>
      </c>
      <c r="C103" s="37" t="s">
        <v>383</v>
      </c>
      <c r="D103" s="44"/>
      <c r="E103" s="44"/>
      <c r="F103" s="44"/>
      <c r="G103" s="44"/>
      <c r="H103" s="44"/>
      <c r="I103" s="44"/>
      <c r="J103" s="46"/>
      <c r="K103" s="46"/>
      <c r="L103" s="46"/>
      <c r="M103" s="46"/>
      <c r="N103" s="46"/>
      <c r="X103" s="44"/>
      <c r="Y103" s="44"/>
      <c r="Z103" s="44"/>
    </row>
    <row r="104" spans="1:26" x14ac:dyDescent="0.3">
      <c r="A104" s="80"/>
      <c r="B104" s="14"/>
      <c r="C104" s="37"/>
      <c r="D104" s="44"/>
      <c r="E104" s="44"/>
      <c r="F104" s="44"/>
      <c r="G104" s="44"/>
      <c r="H104" s="44"/>
      <c r="I104" s="44"/>
      <c r="J104" s="46"/>
      <c r="K104" s="46"/>
      <c r="L104" s="46"/>
      <c r="M104" s="46"/>
      <c r="N104" s="46"/>
      <c r="X104" s="44"/>
      <c r="Y104" s="44"/>
      <c r="Z104" s="44"/>
    </row>
    <row r="105" spans="1:26" ht="12.5" thickBot="1" x14ac:dyDescent="0.35">
      <c r="A105" s="81"/>
      <c r="B105" s="19"/>
      <c r="C105" s="38"/>
      <c r="D105" s="45"/>
      <c r="E105" s="45"/>
      <c r="F105" s="45"/>
      <c r="G105" s="45"/>
      <c r="H105" s="45"/>
      <c r="I105" s="45"/>
      <c r="J105" s="49"/>
      <c r="K105" s="49"/>
      <c r="L105" s="49"/>
      <c r="M105" s="49"/>
      <c r="N105" s="49"/>
      <c r="X105" s="45"/>
      <c r="Y105" s="45"/>
      <c r="Z105" s="45"/>
    </row>
    <row r="106" spans="1:26" ht="12" customHeight="1" x14ac:dyDescent="0.3">
      <c r="A106" s="82" t="s">
        <v>347</v>
      </c>
      <c r="B106" s="61" t="s">
        <v>361</v>
      </c>
      <c r="C106" s="61" t="s">
        <v>384</v>
      </c>
      <c r="D106" s="64"/>
      <c r="E106" s="64"/>
      <c r="F106" s="64"/>
      <c r="G106" s="64"/>
      <c r="H106" s="64"/>
      <c r="I106" s="64"/>
      <c r="J106" s="63"/>
      <c r="K106" s="63"/>
      <c r="L106" s="63"/>
      <c r="M106" s="63"/>
      <c r="N106" s="63"/>
      <c r="X106" s="64"/>
      <c r="Y106" s="64"/>
      <c r="Z106" s="64"/>
    </row>
    <row r="107" spans="1:26" x14ac:dyDescent="0.3">
      <c r="A107" s="80"/>
      <c r="B107" s="15" t="s">
        <v>362</v>
      </c>
      <c r="C107" s="15" t="s">
        <v>385</v>
      </c>
      <c r="D107" s="44"/>
      <c r="E107" s="44"/>
      <c r="F107" s="44"/>
      <c r="G107" s="44"/>
      <c r="H107" s="44"/>
      <c r="I107" s="44"/>
      <c r="J107" s="46"/>
      <c r="K107" s="46"/>
      <c r="L107" s="46"/>
      <c r="M107" s="46"/>
      <c r="N107" s="46"/>
      <c r="X107" s="44"/>
      <c r="Y107" s="44"/>
      <c r="Z107" s="44"/>
    </row>
    <row r="108" spans="1:26" x14ac:dyDescent="0.3">
      <c r="A108" s="80"/>
      <c r="D108" s="44"/>
      <c r="E108" s="44"/>
      <c r="F108" s="44"/>
      <c r="G108" s="44"/>
      <c r="H108" s="44"/>
      <c r="I108" s="44"/>
      <c r="J108" s="46"/>
      <c r="K108" s="46"/>
      <c r="L108" s="46"/>
      <c r="M108" s="46"/>
      <c r="N108" s="46"/>
      <c r="X108" s="44"/>
      <c r="Y108" s="44"/>
      <c r="Z108" s="44"/>
    </row>
    <row r="109" spans="1:26" ht="12.5" thickBot="1" x14ac:dyDescent="0.35">
      <c r="A109" s="81"/>
      <c r="B109" s="62"/>
      <c r="C109" s="62"/>
      <c r="D109" s="45"/>
      <c r="E109" s="45"/>
      <c r="F109" s="45"/>
      <c r="G109" s="45"/>
      <c r="H109" s="45"/>
      <c r="I109" s="45"/>
      <c r="J109" s="49"/>
      <c r="K109" s="49"/>
      <c r="L109" s="49"/>
      <c r="M109" s="49"/>
      <c r="N109" s="49"/>
      <c r="X109" s="45"/>
      <c r="Y109" s="45"/>
      <c r="Z109" s="45"/>
    </row>
    <row r="110" spans="1:26" x14ac:dyDescent="0.3">
      <c r="A110" s="82" t="s">
        <v>348</v>
      </c>
      <c r="B110" s="17" t="s">
        <v>364</v>
      </c>
      <c r="C110" s="15" t="s">
        <v>386</v>
      </c>
      <c r="D110" s="64"/>
      <c r="E110" s="64"/>
      <c r="F110" s="64"/>
      <c r="G110" s="64"/>
      <c r="H110" s="64"/>
      <c r="I110" s="64"/>
      <c r="J110" s="63"/>
      <c r="K110" s="63"/>
      <c r="L110" s="63"/>
      <c r="M110" s="63"/>
      <c r="N110" s="63"/>
      <c r="O110" s="15" t="s">
        <v>386</v>
      </c>
      <c r="X110" s="64"/>
      <c r="Y110" s="64"/>
      <c r="Z110" s="64"/>
    </row>
    <row r="111" spans="1:26" x14ac:dyDescent="0.3">
      <c r="A111" s="83"/>
      <c r="B111" s="17" t="s">
        <v>365</v>
      </c>
      <c r="C111" s="15" t="s">
        <v>387</v>
      </c>
      <c r="D111" s="44"/>
      <c r="E111" s="44"/>
      <c r="F111" s="44"/>
      <c r="G111" s="44"/>
      <c r="H111" s="44"/>
      <c r="I111" s="44"/>
      <c r="J111" s="46"/>
      <c r="K111" s="46"/>
      <c r="L111" s="46"/>
      <c r="M111" s="46"/>
      <c r="N111" s="46"/>
      <c r="X111" s="44"/>
      <c r="Y111" s="44"/>
      <c r="Z111" s="44"/>
    </row>
    <row r="112" spans="1:26" x14ac:dyDescent="0.3">
      <c r="A112" s="83"/>
      <c r="B112" s="17" t="s">
        <v>366</v>
      </c>
      <c r="C112" s="15" t="s">
        <v>388</v>
      </c>
      <c r="D112" s="44"/>
      <c r="E112" s="44"/>
      <c r="F112" s="44"/>
      <c r="G112" s="44"/>
      <c r="H112" s="44"/>
      <c r="I112" s="44"/>
      <c r="J112" s="46"/>
      <c r="K112" s="46"/>
      <c r="L112" s="46"/>
      <c r="M112" s="46"/>
      <c r="N112" s="46"/>
      <c r="X112" s="44" t="s">
        <v>388</v>
      </c>
      <c r="Y112" s="44"/>
      <c r="Z112" s="44"/>
    </row>
    <row r="113" spans="1:26" x14ac:dyDescent="0.3">
      <c r="A113" s="83"/>
      <c r="B113" s="17" t="s">
        <v>506</v>
      </c>
      <c r="C113" s="15" t="s">
        <v>389</v>
      </c>
      <c r="D113" s="44"/>
      <c r="E113" s="44"/>
      <c r="F113" s="44"/>
      <c r="G113" s="44"/>
      <c r="H113" s="44"/>
      <c r="I113" s="44"/>
      <c r="J113" s="46"/>
      <c r="K113" s="46"/>
      <c r="L113" s="46"/>
      <c r="M113" s="46"/>
      <c r="N113" s="46"/>
      <c r="X113" s="44" t="s">
        <v>389</v>
      </c>
      <c r="Y113" s="44"/>
      <c r="Z113" s="44"/>
    </row>
    <row r="114" spans="1:26" x14ac:dyDescent="0.3">
      <c r="A114" s="83"/>
      <c r="B114" s="17" t="s">
        <v>367</v>
      </c>
      <c r="C114" s="15" t="s">
        <v>390</v>
      </c>
      <c r="D114" s="44"/>
      <c r="E114" s="44"/>
      <c r="F114" s="44"/>
      <c r="G114" s="44"/>
      <c r="H114" s="44"/>
      <c r="I114" s="44"/>
      <c r="J114" s="46"/>
      <c r="K114" s="46"/>
      <c r="L114" s="46"/>
      <c r="M114" s="46"/>
      <c r="N114" s="46"/>
      <c r="X114" s="44"/>
      <c r="Y114" s="44"/>
      <c r="Z114" s="44"/>
    </row>
    <row r="115" spans="1:26" x14ac:dyDescent="0.3">
      <c r="A115" s="83"/>
      <c r="B115" s="17" t="s">
        <v>368</v>
      </c>
      <c r="C115" s="15" t="s">
        <v>391</v>
      </c>
      <c r="D115" s="44"/>
      <c r="E115" s="44"/>
      <c r="F115" s="44"/>
      <c r="G115" s="44"/>
      <c r="H115" s="44"/>
      <c r="I115" s="44"/>
      <c r="J115" s="46"/>
      <c r="K115" s="46"/>
      <c r="L115" s="46"/>
      <c r="M115" s="46"/>
      <c r="N115" s="46"/>
      <c r="X115" s="44" t="s">
        <v>391</v>
      </c>
      <c r="Y115" s="44" t="s">
        <v>391</v>
      </c>
      <c r="Z115" s="44" t="s">
        <v>391</v>
      </c>
    </row>
    <row r="116" spans="1:26" x14ac:dyDescent="0.3">
      <c r="A116" s="83"/>
      <c r="D116" s="44"/>
      <c r="E116" s="44"/>
      <c r="F116" s="44"/>
      <c r="G116" s="44"/>
      <c r="H116" s="44"/>
      <c r="I116" s="44"/>
      <c r="J116" s="46"/>
      <c r="K116" s="46"/>
      <c r="L116" s="46"/>
      <c r="M116" s="46"/>
      <c r="N116" s="46"/>
      <c r="X116" s="44"/>
      <c r="Y116" s="44"/>
      <c r="Z116" s="44"/>
    </row>
    <row r="117" spans="1:26" x14ac:dyDescent="0.3">
      <c r="A117" s="83"/>
      <c r="D117" s="44"/>
      <c r="E117" s="44"/>
      <c r="F117" s="44"/>
      <c r="G117" s="44"/>
      <c r="H117" s="44"/>
      <c r="I117" s="44"/>
      <c r="J117" s="46"/>
      <c r="K117" s="46"/>
      <c r="L117" s="46"/>
      <c r="M117" s="46"/>
      <c r="N117" s="46"/>
      <c r="X117" s="44"/>
      <c r="Y117" s="44"/>
      <c r="Z117" s="44"/>
    </row>
    <row r="118" spans="1:26" x14ac:dyDescent="0.3">
      <c r="A118" s="83"/>
      <c r="D118" s="44"/>
      <c r="E118" s="44"/>
      <c r="F118" s="44"/>
      <c r="G118" s="44"/>
      <c r="H118" s="44"/>
      <c r="I118" s="44"/>
      <c r="J118" s="46"/>
      <c r="K118" s="46"/>
      <c r="L118" s="46"/>
      <c r="M118" s="46"/>
      <c r="N118" s="46"/>
      <c r="X118" s="44"/>
      <c r="Y118" s="44"/>
      <c r="Z118" s="44"/>
    </row>
    <row r="119" spans="1:26" x14ac:dyDescent="0.3">
      <c r="A119" s="83"/>
      <c r="D119" s="44"/>
      <c r="E119" s="44"/>
      <c r="F119" s="44"/>
      <c r="G119" s="44"/>
      <c r="H119" s="44"/>
      <c r="I119" s="44"/>
      <c r="J119" s="46"/>
      <c r="K119" s="46"/>
      <c r="L119" s="46"/>
      <c r="M119" s="46"/>
      <c r="N119" s="46"/>
      <c r="X119" s="44"/>
      <c r="Y119" s="44"/>
      <c r="Z119" s="44"/>
    </row>
    <row r="120" spans="1:26" ht="12.5" thickBot="1" x14ac:dyDescent="0.35">
      <c r="A120" s="84"/>
      <c r="B120" s="62"/>
      <c r="C120" s="62"/>
      <c r="D120" s="45"/>
      <c r="E120" s="45"/>
      <c r="F120" s="45"/>
      <c r="G120" s="45"/>
      <c r="H120" s="45"/>
      <c r="I120" s="45"/>
      <c r="J120" s="49"/>
      <c r="K120" s="49"/>
      <c r="L120" s="49"/>
      <c r="M120" s="49"/>
      <c r="N120" s="49"/>
      <c r="X120" s="45"/>
      <c r="Y120" s="45"/>
      <c r="Z120" s="45"/>
    </row>
    <row r="121" spans="1:26" x14ac:dyDescent="0.3">
      <c r="A121" s="82" t="s">
        <v>349</v>
      </c>
      <c r="B121" s="17" t="s">
        <v>369</v>
      </c>
      <c r="C121" s="61" t="s">
        <v>392</v>
      </c>
      <c r="D121" s="64"/>
      <c r="E121" s="64"/>
      <c r="F121" s="64"/>
      <c r="G121" s="64"/>
      <c r="H121" s="64"/>
      <c r="I121" s="64"/>
      <c r="J121" s="63"/>
      <c r="K121" s="63"/>
      <c r="L121" s="63"/>
      <c r="M121" s="63"/>
      <c r="N121" s="63"/>
      <c r="X121" s="64"/>
      <c r="Y121" s="64"/>
      <c r="Z121" s="64"/>
    </row>
    <row r="122" spans="1:26" x14ac:dyDescent="0.3">
      <c r="A122" s="83"/>
      <c r="B122" s="17" t="s">
        <v>370</v>
      </c>
      <c r="C122" s="15" t="s">
        <v>393</v>
      </c>
      <c r="D122" s="44"/>
      <c r="E122" s="44"/>
      <c r="F122" s="44"/>
      <c r="G122" s="44"/>
      <c r="H122" s="44"/>
      <c r="I122" s="44"/>
      <c r="J122" s="46"/>
      <c r="K122" s="46"/>
      <c r="L122" s="46"/>
      <c r="M122" s="46"/>
      <c r="N122" s="46"/>
      <c r="X122" s="44"/>
      <c r="Y122" s="44"/>
      <c r="Z122" s="44"/>
    </row>
    <row r="123" spans="1:26" x14ac:dyDescent="0.3">
      <c r="A123" s="83"/>
      <c r="B123" s="17" t="s">
        <v>373</v>
      </c>
      <c r="C123" s="15" t="s">
        <v>396</v>
      </c>
      <c r="D123" s="44"/>
      <c r="E123" s="44"/>
      <c r="F123" s="44"/>
      <c r="G123" s="44"/>
      <c r="H123" s="44"/>
      <c r="I123" s="44"/>
      <c r="J123" s="46"/>
      <c r="K123" s="46"/>
      <c r="L123" s="46"/>
      <c r="M123" s="46"/>
      <c r="N123" s="46"/>
      <c r="X123" s="44"/>
      <c r="Y123" s="44"/>
      <c r="Z123" s="44"/>
    </row>
    <row r="124" spans="1:26" ht="13" x14ac:dyDescent="0.3">
      <c r="A124" s="83"/>
      <c r="B124" s="17" t="s">
        <v>371</v>
      </c>
      <c r="C124" s="65" t="s">
        <v>394</v>
      </c>
      <c r="D124" s="44"/>
      <c r="E124" s="44"/>
      <c r="F124" s="44"/>
      <c r="G124" s="44"/>
      <c r="H124" s="44"/>
      <c r="I124" s="44"/>
      <c r="J124" s="46"/>
      <c r="K124" s="46"/>
      <c r="L124" s="46"/>
      <c r="M124" s="46"/>
      <c r="N124" s="46"/>
      <c r="X124" s="44"/>
      <c r="Y124" s="44"/>
      <c r="Z124" s="44"/>
    </row>
    <row r="125" spans="1:26" x14ac:dyDescent="0.3">
      <c r="A125" s="83"/>
      <c r="B125" s="17" t="s">
        <v>374</v>
      </c>
      <c r="C125" s="15" t="s">
        <v>397</v>
      </c>
      <c r="D125" s="44"/>
      <c r="E125" s="44"/>
      <c r="F125" s="44"/>
      <c r="G125" s="44"/>
      <c r="H125" s="44"/>
      <c r="I125" s="44"/>
      <c r="J125" s="46"/>
      <c r="K125" s="46"/>
      <c r="L125" s="46"/>
      <c r="M125" s="46"/>
      <c r="N125" s="46"/>
      <c r="X125" s="44"/>
      <c r="Y125" s="44"/>
      <c r="Z125" s="44"/>
    </row>
    <row r="126" spans="1:26" ht="13" x14ac:dyDescent="0.3">
      <c r="A126" s="83"/>
      <c r="B126" s="17" t="s">
        <v>372</v>
      </c>
      <c r="C126" s="65" t="s">
        <v>395</v>
      </c>
      <c r="D126" s="44"/>
      <c r="E126" s="44"/>
      <c r="F126" s="44"/>
      <c r="G126" s="44"/>
      <c r="H126" s="44"/>
      <c r="I126" s="44"/>
      <c r="J126" s="46"/>
      <c r="K126" s="46"/>
      <c r="L126" s="46"/>
      <c r="M126" s="46"/>
      <c r="N126" s="46"/>
      <c r="X126" s="44"/>
      <c r="Y126" s="44"/>
      <c r="Z126" s="44"/>
    </row>
    <row r="127" spans="1:26" x14ac:dyDescent="0.3">
      <c r="A127" s="83"/>
      <c r="D127" s="44"/>
      <c r="E127" s="44"/>
      <c r="F127" s="44"/>
      <c r="G127" s="44"/>
      <c r="H127" s="44"/>
      <c r="I127" s="44"/>
      <c r="J127" s="46"/>
      <c r="K127" s="46"/>
      <c r="L127" s="46"/>
      <c r="M127" s="46"/>
      <c r="N127" s="46"/>
      <c r="X127" s="44"/>
      <c r="Y127" s="44"/>
      <c r="Z127" s="44"/>
    </row>
    <row r="128" spans="1:26" x14ac:dyDescent="0.3">
      <c r="A128" s="83"/>
      <c r="D128" s="44"/>
      <c r="E128" s="44"/>
      <c r="F128" s="44"/>
      <c r="G128" s="44"/>
      <c r="H128" s="44"/>
      <c r="I128" s="44"/>
      <c r="J128" s="46"/>
      <c r="K128" s="46"/>
      <c r="L128" s="46"/>
      <c r="M128" s="46"/>
      <c r="N128" s="46"/>
      <c r="X128" s="44"/>
      <c r="Y128" s="44"/>
      <c r="Z128" s="44"/>
    </row>
    <row r="129" spans="1:26" x14ac:dyDescent="0.3">
      <c r="A129" s="83"/>
      <c r="D129" s="44"/>
      <c r="E129" s="44"/>
      <c r="F129" s="44"/>
      <c r="G129" s="44"/>
      <c r="H129" s="44"/>
      <c r="I129" s="44"/>
      <c r="J129" s="46"/>
      <c r="K129" s="46"/>
      <c r="L129" s="46"/>
      <c r="M129" s="46"/>
      <c r="N129" s="46"/>
      <c r="X129" s="44"/>
      <c r="Y129" s="44"/>
      <c r="Z129" s="44"/>
    </row>
    <row r="130" spans="1:26" x14ac:dyDescent="0.3">
      <c r="A130" s="83"/>
      <c r="D130" s="44"/>
      <c r="E130" s="44"/>
      <c r="F130" s="44"/>
      <c r="G130" s="44"/>
      <c r="H130" s="44"/>
      <c r="I130" s="44"/>
      <c r="J130" s="46"/>
      <c r="K130" s="46"/>
      <c r="L130" s="46"/>
      <c r="M130" s="46"/>
      <c r="N130" s="46"/>
      <c r="X130" s="44"/>
      <c r="Y130" s="44"/>
      <c r="Z130" s="44"/>
    </row>
    <row r="131" spans="1:26" ht="12.5" thickBot="1" x14ac:dyDescent="0.35">
      <c r="A131" s="84"/>
      <c r="B131" s="62"/>
      <c r="C131" s="62"/>
      <c r="D131" s="45"/>
      <c r="E131" s="45"/>
      <c r="F131" s="45"/>
      <c r="G131" s="45"/>
      <c r="H131" s="45"/>
      <c r="I131" s="45"/>
      <c r="J131" s="49"/>
      <c r="K131" s="49"/>
      <c r="L131" s="49"/>
      <c r="M131" s="49"/>
      <c r="N131" s="49"/>
      <c r="X131" s="45"/>
      <c r="Y131" s="45"/>
      <c r="Z131" s="45"/>
    </row>
    <row r="132" spans="1:26" ht="12" customHeight="1" x14ac:dyDescent="0.3">
      <c r="A132" s="82" t="s">
        <v>350</v>
      </c>
      <c r="B132" s="61" t="s">
        <v>604</v>
      </c>
      <c r="C132" s="61" t="s">
        <v>398</v>
      </c>
      <c r="D132" s="64"/>
      <c r="E132" s="64"/>
      <c r="F132" s="64"/>
      <c r="G132" s="64"/>
      <c r="H132" s="64"/>
      <c r="I132" s="64"/>
      <c r="J132" s="63"/>
      <c r="K132" s="63"/>
      <c r="L132" s="63"/>
      <c r="M132" s="63"/>
      <c r="N132" s="63"/>
      <c r="X132" s="64"/>
      <c r="Y132" s="64"/>
      <c r="Z132" s="64"/>
    </row>
    <row r="133" spans="1:26" x14ac:dyDescent="0.3">
      <c r="A133" s="83"/>
      <c r="B133" s="15" t="s">
        <v>38</v>
      </c>
      <c r="C133" s="15" t="s">
        <v>399</v>
      </c>
      <c r="D133" s="44"/>
      <c r="E133" s="44"/>
      <c r="F133" s="44"/>
      <c r="G133" s="44"/>
      <c r="H133" s="44"/>
      <c r="I133" s="44"/>
      <c r="J133" s="46"/>
      <c r="K133" s="46"/>
      <c r="L133" s="46"/>
      <c r="M133" s="46"/>
      <c r="N133" s="46"/>
      <c r="X133" s="44"/>
      <c r="Y133" s="44"/>
      <c r="Z133" s="44"/>
    </row>
    <row r="134" spans="1:26" x14ac:dyDescent="0.3">
      <c r="A134" s="83"/>
      <c r="B134" s="15" t="s">
        <v>450</v>
      </c>
      <c r="C134" s="15" t="s">
        <v>451</v>
      </c>
      <c r="D134" s="44"/>
      <c r="E134" s="44"/>
      <c r="F134" s="44"/>
      <c r="G134" s="44"/>
      <c r="H134" s="44"/>
      <c r="I134" s="44"/>
      <c r="J134" s="46"/>
      <c r="K134" s="46"/>
      <c r="L134" s="46"/>
      <c r="M134" s="46"/>
      <c r="N134" s="46"/>
      <c r="X134" s="44"/>
      <c r="Y134" s="44"/>
      <c r="Z134" s="44"/>
    </row>
    <row r="135" spans="1:26" x14ac:dyDescent="0.3">
      <c r="A135" s="83"/>
      <c r="B135" s="15" t="s">
        <v>440</v>
      </c>
      <c r="C135" s="15" t="s">
        <v>445</v>
      </c>
      <c r="D135" s="44"/>
      <c r="E135" s="44"/>
      <c r="F135" s="44"/>
      <c r="G135" s="44"/>
      <c r="H135" s="44"/>
      <c r="I135" s="44"/>
      <c r="J135" s="46"/>
      <c r="K135" s="46"/>
      <c r="L135" s="46"/>
      <c r="M135" s="46"/>
      <c r="N135" s="46"/>
      <c r="X135" s="44"/>
      <c r="Y135" s="44"/>
      <c r="Z135" s="44"/>
    </row>
    <row r="136" spans="1:26" x14ac:dyDescent="0.3">
      <c r="A136" s="83"/>
      <c r="B136" s="15" t="s">
        <v>441</v>
      </c>
      <c r="C136" s="15" t="s">
        <v>446</v>
      </c>
      <c r="D136" s="44"/>
      <c r="E136" s="44"/>
      <c r="F136" s="44"/>
      <c r="G136" s="44"/>
      <c r="H136" s="44"/>
      <c r="I136" s="44"/>
      <c r="J136" s="46"/>
      <c r="K136" s="46"/>
      <c r="L136" s="46"/>
      <c r="M136" s="46"/>
      <c r="N136" s="46"/>
      <c r="X136" s="44"/>
      <c r="Y136" s="44"/>
      <c r="Z136" s="44"/>
    </row>
    <row r="137" spans="1:26" x14ac:dyDescent="0.3">
      <c r="A137" s="83"/>
      <c r="B137" s="15" t="s">
        <v>442</v>
      </c>
      <c r="C137" s="15" t="s">
        <v>447</v>
      </c>
      <c r="D137" s="44"/>
      <c r="E137" s="44"/>
      <c r="F137" s="44"/>
      <c r="G137" s="44"/>
      <c r="H137" s="44"/>
      <c r="I137" s="44"/>
      <c r="J137" s="46"/>
      <c r="K137" s="46"/>
      <c r="L137" s="46"/>
      <c r="M137" s="46"/>
      <c r="N137" s="46"/>
      <c r="X137" s="44"/>
      <c r="Y137" s="44"/>
      <c r="Z137" s="44"/>
    </row>
    <row r="138" spans="1:26" x14ac:dyDescent="0.3">
      <c r="A138" s="83"/>
      <c r="B138" s="15" t="s">
        <v>443</v>
      </c>
      <c r="C138" s="15" t="s">
        <v>448</v>
      </c>
      <c r="D138" s="44"/>
      <c r="E138" s="44"/>
      <c r="F138" s="44"/>
      <c r="G138" s="44"/>
      <c r="H138" s="44"/>
      <c r="I138" s="44"/>
      <c r="J138" s="46"/>
      <c r="K138" s="46"/>
      <c r="L138" s="46"/>
      <c r="M138" s="46"/>
      <c r="N138" s="46"/>
      <c r="X138" s="44"/>
      <c r="Y138" s="44"/>
      <c r="Z138" s="44"/>
    </row>
    <row r="139" spans="1:26" ht="12.5" thickBot="1" x14ac:dyDescent="0.35">
      <c r="A139" s="84"/>
      <c r="B139" s="62" t="s">
        <v>444</v>
      </c>
      <c r="C139" s="62" t="s">
        <v>449</v>
      </c>
      <c r="D139" s="45"/>
      <c r="E139" s="45"/>
      <c r="F139" s="45"/>
      <c r="G139" s="45"/>
      <c r="H139" s="45"/>
      <c r="I139" s="45"/>
      <c r="J139" s="49"/>
      <c r="K139" s="49"/>
      <c r="L139" s="49"/>
      <c r="M139" s="49"/>
      <c r="N139" s="49"/>
      <c r="X139" s="45"/>
      <c r="Y139" s="45"/>
      <c r="Z139" s="45"/>
    </row>
    <row r="140" spans="1:26" ht="12" customHeight="1" x14ac:dyDescent="0.3">
      <c r="A140" s="82" t="s">
        <v>424</v>
      </c>
      <c r="B140" s="61" t="s">
        <v>425</v>
      </c>
      <c r="C140" s="61" t="s">
        <v>426</v>
      </c>
      <c r="D140" s="64"/>
      <c r="E140" s="64"/>
      <c r="F140" s="64"/>
      <c r="G140" s="64"/>
      <c r="H140" s="64"/>
      <c r="I140" s="64"/>
      <c r="J140" s="63"/>
      <c r="K140" s="63"/>
      <c r="L140" s="63"/>
      <c r="M140" s="63"/>
      <c r="N140" s="63"/>
      <c r="P140" s="15" t="s">
        <v>426</v>
      </c>
      <c r="X140" s="64"/>
      <c r="Y140" s="64"/>
      <c r="Z140" s="64"/>
    </row>
    <row r="141" spans="1:26" x14ac:dyDescent="0.3">
      <c r="A141" s="83"/>
      <c r="B141" s="15" t="s">
        <v>479</v>
      </c>
      <c r="C141" s="15" t="s">
        <v>480</v>
      </c>
      <c r="D141" s="44"/>
      <c r="E141" s="44"/>
      <c r="F141" s="44"/>
      <c r="G141" s="44"/>
      <c r="H141" s="44"/>
      <c r="I141" s="44"/>
      <c r="J141" s="46"/>
      <c r="K141" s="46"/>
      <c r="L141" s="46"/>
      <c r="M141" s="46"/>
      <c r="N141" s="46"/>
      <c r="R141" s="15" t="s">
        <v>480</v>
      </c>
      <c r="X141" s="44"/>
      <c r="Y141" s="44"/>
      <c r="Z141" s="44"/>
    </row>
    <row r="142" spans="1:26" x14ac:dyDescent="0.3">
      <c r="A142" s="83"/>
      <c r="B142" s="15" t="s">
        <v>481</v>
      </c>
      <c r="C142" s="15" t="s">
        <v>482</v>
      </c>
      <c r="D142" s="44"/>
      <c r="E142" s="44"/>
      <c r="F142" s="44"/>
      <c r="G142" s="44"/>
      <c r="H142" s="44"/>
      <c r="I142" s="44"/>
      <c r="J142" s="46"/>
      <c r="K142" s="46"/>
      <c r="L142" s="46"/>
      <c r="M142" s="46"/>
      <c r="N142" s="46"/>
      <c r="R142" s="15" t="s">
        <v>482</v>
      </c>
      <c r="X142" s="44"/>
      <c r="Y142" s="44"/>
      <c r="Z142" s="44"/>
    </row>
    <row r="143" spans="1:26" x14ac:dyDescent="0.3">
      <c r="A143" s="83"/>
      <c r="B143" s="15" t="s">
        <v>544</v>
      </c>
      <c r="D143" s="44"/>
      <c r="E143" s="44"/>
      <c r="F143" s="44"/>
      <c r="G143" s="44"/>
      <c r="H143" s="44"/>
      <c r="I143" s="44"/>
      <c r="J143" s="46"/>
      <c r="K143" s="46"/>
      <c r="L143" s="46"/>
      <c r="M143" s="46"/>
      <c r="N143" s="46"/>
      <c r="T143" s="15" t="s">
        <v>544</v>
      </c>
      <c r="X143" s="44"/>
      <c r="Y143" s="44"/>
      <c r="Z143" s="44"/>
    </row>
    <row r="144" spans="1:26" ht="12.5" thickBot="1" x14ac:dyDescent="0.35">
      <c r="A144" s="84"/>
      <c r="B144" s="62"/>
      <c r="C144" s="62"/>
      <c r="D144" s="45"/>
      <c r="E144" s="45"/>
      <c r="F144" s="45"/>
      <c r="G144" s="45"/>
      <c r="H144" s="45"/>
      <c r="I144" s="45"/>
      <c r="J144" s="49"/>
      <c r="K144" s="49"/>
      <c r="L144" s="49"/>
      <c r="M144" s="49"/>
      <c r="N144" s="49"/>
      <c r="X144" s="45"/>
      <c r="Y144" s="45"/>
      <c r="Z144" s="45"/>
    </row>
  </sheetData>
  <mergeCells count="18">
    <mergeCell ref="A140:A144"/>
    <mergeCell ref="A132:A139"/>
    <mergeCell ref="A106:A109"/>
    <mergeCell ref="A110:A120"/>
    <mergeCell ref="A121:A131"/>
    <mergeCell ref="A57:A58"/>
    <mergeCell ref="A59:A65"/>
    <mergeCell ref="A98:A101"/>
    <mergeCell ref="A102:A105"/>
    <mergeCell ref="A88:A91"/>
    <mergeCell ref="A92:A97"/>
    <mergeCell ref="A81:A87"/>
    <mergeCell ref="A66:A80"/>
    <mergeCell ref="A3:A8"/>
    <mergeCell ref="A31:A50"/>
    <mergeCell ref="A9:A30"/>
    <mergeCell ref="A51:A52"/>
    <mergeCell ref="A53:A56"/>
  </mergeCells>
  <pageMargins left="0.7" right="0.7" top="0.75" bottom="0.75" header="0.3" footer="0.3"/>
  <pageSetup orientation="portrait" horizontalDpi="1200" verticalDpi="1200" r:id="rId1"/>
  <ignoredErrors>
    <ignoredError sqref="B50 B9:B18 B66:B73 B74:C74 B42:B44 B31:B4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974F8-A8B1-4F7E-99DE-29F38213918A}">
  <dimension ref="A1:AM204"/>
  <sheetViews>
    <sheetView zoomScale="85" zoomScaleNormal="85" workbookViewId="0">
      <pane xSplit="6" ySplit="4" topLeftCell="Q5" activePane="bottomRight" state="frozen"/>
      <selection pane="topRight" activeCell="E1" sqref="E1"/>
      <selection pane="bottomLeft" activeCell="A6" sqref="A6"/>
      <selection pane="bottomRight" activeCell="A11" sqref="A11:XFD11"/>
    </sheetView>
  </sheetViews>
  <sheetFormatPr defaultColWidth="8.81640625" defaultRowHeight="49.9" customHeight="1" x14ac:dyDescent="0.3"/>
  <cols>
    <col min="1" max="1" width="18.7265625" style="5" bestFit="1" customWidth="1"/>
    <col min="2" max="2" width="47.1796875" style="5" bestFit="1" customWidth="1"/>
    <col min="3" max="3" width="16" style="6" bestFit="1" customWidth="1"/>
    <col min="4" max="4" width="35.54296875" style="7" bestFit="1" customWidth="1"/>
    <col min="5" max="5" width="35.54296875" style="7" customWidth="1"/>
    <col min="6" max="6" width="65.26953125" style="5" customWidth="1"/>
    <col min="7" max="7" width="10.453125" style="8" bestFit="1" customWidth="1"/>
    <col min="8" max="8" width="1.81640625" style="8" bestFit="1" customWidth="1"/>
    <col min="9" max="9" width="15.54296875" style="8" bestFit="1" customWidth="1"/>
    <col min="10" max="10" width="16.7265625" style="8" bestFit="1" customWidth="1"/>
    <col min="11" max="11" width="1.81640625" style="8" bestFit="1" customWidth="1"/>
    <col min="12" max="12" width="13" style="8" bestFit="1" customWidth="1"/>
    <col min="13" max="13" width="1.81640625" style="8" bestFit="1" customWidth="1"/>
    <col min="14" max="14" width="24.81640625" style="8" bestFit="1" customWidth="1"/>
    <col min="15" max="15" width="18.7265625" style="8" bestFit="1" customWidth="1"/>
    <col min="16" max="16" width="1.81640625" style="8" bestFit="1" customWidth="1"/>
    <col min="17" max="17" width="15.54296875" style="8" bestFit="1" customWidth="1"/>
    <col min="18" max="18" width="1.81640625" style="8" bestFit="1" customWidth="1"/>
    <col min="19" max="19" width="9.81640625" style="8" bestFit="1" customWidth="1"/>
    <col min="20" max="20" width="1.81640625" style="8" bestFit="1" customWidth="1"/>
    <col min="21" max="21" width="5.54296875" style="8" bestFit="1" customWidth="1"/>
    <col min="22" max="22" width="1.81640625" style="8" bestFit="1" customWidth="1"/>
    <col min="23" max="23" width="18.26953125" style="8" bestFit="1" customWidth="1"/>
    <col min="24" max="24" width="1.81640625" style="8" bestFit="1" customWidth="1"/>
    <col min="25" max="25" width="7.1796875" style="8" bestFit="1" customWidth="1"/>
    <col min="26" max="26" width="1.81640625" style="8" bestFit="1" customWidth="1"/>
    <col min="27" max="27" width="6.81640625" style="8" bestFit="1" customWidth="1"/>
    <col min="28" max="28" width="1.81640625" style="8" bestFit="1" customWidth="1"/>
    <col min="29" max="29" width="14.7265625" style="8" bestFit="1" customWidth="1"/>
    <col min="30" max="30" width="6.54296875" style="8" customWidth="1"/>
    <col min="31" max="31" width="16.1796875" style="1" bestFit="1" customWidth="1"/>
    <col min="32" max="32" width="23.7265625" style="1" bestFit="1" customWidth="1"/>
    <col min="33" max="37" width="31.7265625" style="1" bestFit="1" customWidth="1"/>
    <col min="38" max="39" width="43.7265625" style="1" bestFit="1" customWidth="1"/>
    <col min="40" max="16384" width="8.81640625" style="1"/>
  </cols>
  <sheetData>
    <row r="1" spans="1:39" ht="19.25" customHeight="1" x14ac:dyDescent="0.3">
      <c r="A1" s="71" t="s">
        <v>4</v>
      </c>
      <c r="B1" s="72"/>
      <c r="C1" s="72"/>
      <c r="D1" s="72"/>
      <c r="E1" s="72"/>
      <c r="F1" s="73"/>
      <c r="G1" s="77" t="s">
        <v>5</v>
      </c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</row>
    <row r="2" spans="1:39" ht="19.25" customHeight="1" thickBot="1" x14ac:dyDescent="0.35">
      <c r="A2" s="74"/>
      <c r="B2" s="75"/>
      <c r="C2" s="75"/>
      <c r="D2" s="75"/>
      <c r="E2" s="75"/>
      <c r="F2" s="76"/>
      <c r="G2" s="77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  <c r="AG2" s="78"/>
      <c r="AH2" s="78"/>
      <c r="AI2" s="78"/>
      <c r="AJ2" s="78"/>
      <c r="AK2" s="78"/>
      <c r="AL2" s="78"/>
      <c r="AM2" s="78"/>
    </row>
    <row r="3" spans="1:39" ht="19.25" customHeight="1" thickBot="1" x14ac:dyDescent="0.35">
      <c r="A3" s="27" t="s">
        <v>0</v>
      </c>
      <c r="B3" s="28" t="s">
        <v>1</v>
      </c>
      <c r="C3" s="29" t="s">
        <v>3</v>
      </c>
      <c r="D3" s="30" t="s">
        <v>52</v>
      </c>
      <c r="E3" s="30" t="s">
        <v>679</v>
      </c>
      <c r="F3" s="28" t="s">
        <v>2</v>
      </c>
      <c r="G3" s="31" t="s">
        <v>6</v>
      </c>
      <c r="H3" s="31"/>
      <c r="I3" s="31" t="s">
        <v>23</v>
      </c>
      <c r="J3" s="31" t="s">
        <v>24</v>
      </c>
      <c r="K3" s="31"/>
      <c r="L3" s="31" t="s">
        <v>16</v>
      </c>
      <c r="M3" s="31"/>
      <c r="N3" s="31" t="s">
        <v>19</v>
      </c>
      <c r="O3" s="31" t="s">
        <v>20</v>
      </c>
      <c r="P3" s="31"/>
      <c r="Q3" s="31" t="s">
        <v>17</v>
      </c>
      <c r="R3" s="31"/>
      <c r="S3" s="31" t="s">
        <v>18</v>
      </c>
      <c r="T3" s="31"/>
      <c r="U3" s="31" t="s">
        <v>12</v>
      </c>
      <c r="V3" s="31"/>
      <c r="W3" s="31" t="s">
        <v>25</v>
      </c>
      <c r="X3" s="31"/>
      <c r="Y3" s="31" t="s">
        <v>26</v>
      </c>
      <c r="Z3" s="31"/>
      <c r="AA3" s="31" t="s">
        <v>28</v>
      </c>
      <c r="AB3" s="31"/>
      <c r="AC3" s="31" t="s">
        <v>29</v>
      </c>
      <c r="AD3" s="31"/>
      <c r="AE3" s="31" t="s">
        <v>345</v>
      </c>
      <c r="AF3" s="31" t="s">
        <v>334</v>
      </c>
      <c r="AG3" s="31" t="s">
        <v>333</v>
      </c>
      <c r="AH3" s="32" t="s">
        <v>346</v>
      </c>
      <c r="AI3" s="32" t="s">
        <v>347</v>
      </c>
      <c r="AJ3" s="32" t="s">
        <v>348</v>
      </c>
      <c r="AK3" s="32" t="s">
        <v>349</v>
      </c>
      <c r="AL3" s="32" t="s">
        <v>439</v>
      </c>
      <c r="AM3" s="32" t="s">
        <v>424</v>
      </c>
    </row>
    <row r="4" spans="1:39" ht="19.25" customHeight="1" x14ac:dyDescent="0.3">
      <c r="A4" s="2"/>
      <c r="B4" s="2"/>
      <c r="C4" s="3"/>
      <c r="D4" s="26"/>
      <c r="E4" s="26"/>
      <c r="F4" s="2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</row>
    <row r="5" spans="1:39" ht="49.9" customHeight="1" x14ac:dyDescent="0.3">
      <c r="A5" s="5" t="s">
        <v>30</v>
      </c>
      <c r="B5" s="59" t="s">
        <v>31</v>
      </c>
      <c r="C5" s="6">
        <v>662187501963</v>
      </c>
      <c r="D5" s="7" t="s">
        <v>53</v>
      </c>
      <c r="F5" s="5" t="str">
        <f>_xlfn.CONCAT(G5,H5,I5,J5,K5,L5,M5,N5,O5,P5,Q5,R5,S5,T5,U5,V5,W5,X5,Y5,Z5,AA5,AB5,AC5,AD5,AE5,AF5,AG5,AH5,AI5,AJ5,AK5,AL5)</f>
        <v>IK-UHB3-02-S0240-MV-D-CCT-WD-01-BK-BFU</v>
      </c>
      <c r="G5" s="8" t="s">
        <v>8</v>
      </c>
      <c r="H5" s="8" t="s">
        <v>7</v>
      </c>
      <c r="I5" s="8" t="s">
        <v>22</v>
      </c>
      <c r="J5" s="8">
        <v>3</v>
      </c>
      <c r="K5" s="8" t="s">
        <v>7</v>
      </c>
      <c r="L5" s="9" t="s">
        <v>9</v>
      </c>
      <c r="M5" s="8" t="s">
        <v>7</v>
      </c>
      <c r="N5" s="8" t="s">
        <v>21</v>
      </c>
      <c r="O5" s="8" t="s">
        <v>78</v>
      </c>
      <c r="P5" s="8" t="s">
        <v>7</v>
      </c>
      <c r="Q5" s="8" t="s">
        <v>10</v>
      </c>
      <c r="R5" s="8" t="s">
        <v>7</v>
      </c>
      <c r="S5" s="8" t="s">
        <v>11</v>
      </c>
      <c r="T5" s="8" t="s">
        <v>7</v>
      </c>
      <c r="U5" s="8" t="s">
        <v>12</v>
      </c>
      <c r="V5" s="8" t="s">
        <v>7</v>
      </c>
      <c r="W5" s="8" t="s">
        <v>13</v>
      </c>
      <c r="X5" s="8" t="s">
        <v>7</v>
      </c>
      <c r="Y5" s="10" t="s">
        <v>27</v>
      </c>
      <c r="Z5" s="8" t="s">
        <v>7</v>
      </c>
      <c r="AA5" s="8" t="s">
        <v>14</v>
      </c>
      <c r="AB5" s="8" t="s">
        <v>7</v>
      </c>
      <c r="AC5" s="8" t="s">
        <v>15</v>
      </c>
      <c r="AE5" s="8"/>
      <c r="AF5" s="8"/>
      <c r="AG5" s="8"/>
      <c r="AH5" s="8"/>
      <c r="AI5" s="8"/>
      <c r="AJ5" s="8"/>
      <c r="AK5" s="8"/>
      <c r="AL5" s="8"/>
      <c r="AM5" s="8"/>
    </row>
    <row r="6" spans="1:39" ht="49.9" customHeight="1" x14ac:dyDescent="0.3">
      <c r="A6" s="5" t="s">
        <v>30</v>
      </c>
      <c r="B6" s="59" t="s">
        <v>31</v>
      </c>
      <c r="C6" s="6">
        <v>662187513089</v>
      </c>
      <c r="D6" s="7" t="s">
        <v>624</v>
      </c>
      <c r="F6" s="5" t="str">
        <f>_xlfn.CONCAT(G6,H6,I6,J6,K6,L6,M6,N6,O6,P6,Q6,R6,S6,T6,U6,V6,W6,X6,Y6,Z6,AA6,AB6,AC6,AD6,AE6,AF6,AG6,AH6,AI6,AJ6,AK6,AL6)</f>
        <v>IK-UHB3-02-S0240-MV-D-CCT-WD-01-WH-BFU</v>
      </c>
      <c r="G6" s="8" t="s">
        <v>8</v>
      </c>
      <c r="H6" s="8" t="s">
        <v>7</v>
      </c>
      <c r="I6" s="8" t="s">
        <v>22</v>
      </c>
      <c r="J6" s="8">
        <v>3</v>
      </c>
      <c r="K6" s="8" t="s">
        <v>7</v>
      </c>
      <c r="L6" s="9" t="s">
        <v>9</v>
      </c>
      <c r="M6" s="8" t="s">
        <v>7</v>
      </c>
      <c r="N6" s="8" t="s">
        <v>21</v>
      </c>
      <c r="O6" s="8" t="s">
        <v>78</v>
      </c>
      <c r="P6" s="8" t="s">
        <v>7</v>
      </c>
      <c r="Q6" s="8" t="s">
        <v>10</v>
      </c>
      <c r="R6" s="8" t="s">
        <v>7</v>
      </c>
      <c r="S6" s="8" t="s">
        <v>11</v>
      </c>
      <c r="T6" s="8" t="s">
        <v>7</v>
      </c>
      <c r="U6" s="8" t="s">
        <v>12</v>
      </c>
      <c r="V6" s="8" t="s">
        <v>7</v>
      </c>
      <c r="W6" s="8" t="s">
        <v>13</v>
      </c>
      <c r="X6" s="8" t="s">
        <v>7</v>
      </c>
      <c r="Y6" s="10" t="s">
        <v>27</v>
      </c>
      <c r="Z6" s="8" t="s">
        <v>7</v>
      </c>
      <c r="AA6" s="8" t="s">
        <v>49</v>
      </c>
      <c r="AB6" s="8" t="s">
        <v>7</v>
      </c>
      <c r="AC6" s="8" t="s">
        <v>15</v>
      </c>
      <c r="AE6" s="8"/>
      <c r="AF6" s="8"/>
      <c r="AG6" s="8"/>
      <c r="AH6" s="8"/>
      <c r="AI6" s="8"/>
      <c r="AJ6" s="8"/>
      <c r="AK6" s="8"/>
      <c r="AL6" s="8"/>
      <c r="AM6" s="8"/>
    </row>
    <row r="7" spans="1:39" ht="49.9" customHeight="1" x14ac:dyDescent="0.3">
      <c r="A7" s="5" t="s">
        <v>30</v>
      </c>
      <c r="B7" s="59" t="s">
        <v>31</v>
      </c>
      <c r="C7" s="6">
        <v>662187513065</v>
      </c>
      <c r="D7" s="7" t="s">
        <v>335</v>
      </c>
      <c r="F7" s="5" t="str">
        <f>_xlfn.CONCAT(G7,H7,I7,J7,K7,L7,M7,N7,O7,P7,Q7,R7,S7,T7,U7,V7,W7,X7,Y7,Z7,AA7,AB7,AC7,AD7,AE7,AF7,AG7,AH7,AI7,AJ7,AK7,AL7)</f>
        <v>IK-UHB3-02-S0240-HV-D-CCT-WD-01-WH-BFU</v>
      </c>
      <c r="G7" s="8" t="s">
        <v>8</v>
      </c>
      <c r="H7" s="8" t="s">
        <v>7</v>
      </c>
      <c r="I7" s="8" t="s">
        <v>22</v>
      </c>
      <c r="J7" s="8">
        <v>3</v>
      </c>
      <c r="K7" s="8" t="s">
        <v>7</v>
      </c>
      <c r="L7" s="9" t="s">
        <v>9</v>
      </c>
      <c r="M7" s="8" t="s">
        <v>7</v>
      </c>
      <c r="N7" s="8" t="s">
        <v>21</v>
      </c>
      <c r="O7" s="8" t="s">
        <v>78</v>
      </c>
      <c r="P7" s="8" t="s">
        <v>7</v>
      </c>
      <c r="Q7" s="8" t="s">
        <v>37</v>
      </c>
      <c r="R7" s="8" t="s">
        <v>7</v>
      </c>
      <c r="S7" s="8" t="s">
        <v>11</v>
      </c>
      <c r="T7" s="8" t="s">
        <v>7</v>
      </c>
      <c r="U7" s="8" t="s">
        <v>12</v>
      </c>
      <c r="V7" s="8" t="s">
        <v>7</v>
      </c>
      <c r="W7" s="8" t="s">
        <v>13</v>
      </c>
      <c r="X7" s="8" t="s">
        <v>7</v>
      </c>
      <c r="Y7" s="10" t="s">
        <v>27</v>
      </c>
      <c r="Z7" s="8" t="s">
        <v>7</v>
      </c>
      <c r="AA7" s="8" t="s">
        <v>49</v>
      </c>
      <c r="AB7" s="8" t="s">
        <v>7</v>
      </c>
      <c r="AC7" s="8" t="s">
        <v>15</v>
      </c>
      <c r="AE7" s="8"/>
      <c r="AF7" s="8"/>
      <c r="AG7" s="8"/>
      <c r="AH7" s="8"/>
      <c r="AI7" s="8"/>
      <c r="AJ7" s="8"/>
      <c r="AK7" s="8"/>
      <c r="AL7" s="8"/>
      <c r="AM7" s="8"/>
    </row>
    <row r="8" spans="1:39" ht="49.9" customHeight="1" x14ac:dyDescent="0.3">
      <c r="A8" s="5" t="s">
        <v>30</v>
      </c>
      <c r="B8" s="59" t="s">
        <v>739</v>
      </c>
      <c r="D8" s="7" t="s">
        <v>742</v>
      </c>
      <c r="E8" s="7" t="s">
        <v>740</v>
      </c>
      <c r="F8" s="5" t="str">
        <f>_xlfn.CONCAT(G8,H8,I8,J8,K8,L8,M8,N8,O8,P8,Q8,R8,S8,T8,U8,V8,W8,X8,Y8,Z8,AA8,AB8,AC8,AD8,AE8,AF8,AG8,AH8,AI8,AJ8,AK8,AL8)</f>
        <v>IK-UHB4-01-S0150-MV-D-CCT-WD-01-BK-BFU-MWS</v>
      </c>
      <c r="G8" s="8" t="s">
        <v>8</v>
      </c>
      <c r="H8" s="8" t="s">
        <v>7</v>
      </c>
      <c r="I8" s="8" t="s">
        <v>22</v>
      </c>
      <c r="J8" s="8">
        <v>4</v>
      </c>
      <c r="K8" s="8" t="s">
        <v>7</v>
      </c>
      <c r="L8" s="9" t="s">
        <v>27</v>
      </c>
      <c r="M8" s="8" t="s">
        <v>7</v>
      </c>
      <c r="N8" s="8" t="s">
        <v>21</v>
      </c>
      <c r="O8" s="8" t="s">
        <v>74</v>
      </c>
      <c r="P8" s="8" t="s">
        <v>7</v>
      </c>
      <c r="Q8" s="8" t="s">
        <v>10</v>
      </c>
      <c r="R8" s="8" t="s">
        <v>7</v>
      </c>
      <c r="S8" s="8" t="s">
        <v>11</v>
      </c>
      <c r="T8" s="8" t="s">
        <v>7</v>
      </c>
      <c r="U8" s="8" t="s">
        <v>12</v>
      </c>
      <c r="V8" s="8" t="s">
        <v>7</v>
      </c>
      <c r="W8" s="8" t="s">
        <v>13</v>
      </c>
      <c r="X8" s="8" t="s">
        <v>7</v>
      </c>
      <c r="Y8" s="10" t="s">
        <v>27</v>
      </c>
      <c r="Z8" s="8" t="s">
        <v>7</v>
      </c>
      <c r="AA8" s="8" t="s">
        <v>14</v>
      </c>
      <c r="AB8" s="8" t="s">
        <v>7</v>
      </c>
      <c r="AC8" s="8" t="s">
        <v>15</v>
      </c>
      <c r="AD8" s="8" t="s">
        <v>7</v>
      </c>
      <c r="AE8" s="8"/>
      <c r="AF8" s="8"/>
      <c r="AG8" s="8" t="s">
        <v>323</v>
      </c>
      <c r="AH8" s="8"/>
      <c r="AI8" s="8"/>
      <c r="AJ8" s="8"/>
      <c r="AK8" s="8"/>
      <c r="AL8" s="8"/>
      <c r="AM8" s="8"/>
    </row>
    <row r="9" spans="1:39" ht="49.9" customHeight="1" x14ac:dyDescent="0.3">
      <c r="A9" s="5" t="s">
        <v>30</v>
      </c>
      <c r="B9" s="59" t="s">
        <v>739</v>
      </c>
      <c r="D9" s="7" t="s">
        <v>743</v>
      </c>
      <c r="E9" s="7" t="s">
        <v>740</v>
      </c>
      <c r="F9" s="5" t="str">
        <f>_xlfn.CONCAT(G9,H9,I9,J9,K9,L9,M9,N9,O9,P9,Q9,R9,S9,T9,U9,V9,W9,X9,Y9,Z9,AA9,AB9,AC9,AD9,AE9,AF9,AG9,AH9,AI9,AJ9,AK9,AL9)</f>
        <v>IK-UHB4-02-S0240-MV-D-CCT-WD-01-BK-BFU-MWS</v>
      </c>
      <c r="G9" s="8" t="s">
        <v>8</v>
      </c>
      <c r="H9" s="8" t="s">
        <v>7</v>
      </c>
      <c r="I9" s="8" t="s">
        <v>22</v>
      </c>
      <c r="J9" s="8">
        <v>4</v>
      </c>
      <c r="K9" s="8" t="s">
        <v>7</v>
      </c>
      <c r="L9" s="9" t="s">
        <v>9</v>
      </c>
      <c r="M9" s="8" t="s">
        <v>7</v>
      </c>
      <c r="N9" s="8" t="s">
        <v>21</v>
      </c>
      <c r="O9" s="8" t="s">
        <v>78</v>
      </c>
      <c r="P9" s="8" t="s">
        <v>7</v>
      </c>
      <c r="Q9" s="8" t="s">
        <v>10</v>
      </c>
      <c r="R9" s="8" t="s">
        <v>7</v>
      </c>
      <c r="S9" s="8" t="s">
        <v>11</v>
      </c>
      <c r="T9" s="8" t="s">
        <v>7</v>
      </c>
      <c r="U9" s="8" t="s">
        <v>12</v>
      </c>
      <c r="V9" s="8" t="s">
        <v>7</v>
      </c>
      <c r="W9" s="8" t="s">
        <v>13</v>
      </c>
      <c r="X9" s="8" t="s">
        <v>7</v>
      </c>
      <c r="Y9" s="10" t="s">
        <v>27</v>
      </c>
      <c r="Z9" s="8" t="s">
        <v>7</v>
      </c>
      <c r="AA9" s="8" t="s">
        <v>14</v>
      </c>
      <c r="AB9" s="8" t="s">
        <v>7</v>
      </c>
      <c r="AC9" s="8" t="s">
        <v>15</v>
      </c>
      <c r="AD9" s="8" t="s">
        <v>7</v>
      </c>
      <c r="AE9" s="8"/>
      <c r="AF9" s="8"/>
      <c r="AG9" s="8" t="s">
        <v>323</v>
      </c>
      <c r="AH9" s="8"/>
      <c r="AI9" s="8"/>
      <c r="AJ9" s="8"/>
      <c r="AK9" s="8"/>
      <c r="AL9" s="8"/>
      <c r="AM9" s="8"/>
    </row>
    <row r="10" spans="1:39" ht="49.9" customHeight="1" x14ac:dyDescent="0.3">
      <c r="B10" s="59"/>
      <c r="L10" s="9"/>
      <c r="Y10" s="10"/>
      <c r="AE10" s="8"/>
      <c r="AF10" s="8"/>
      <c r="AG10" s="8"/>
      <c r="AH10" s="8"/>
      <c r="AI10" s="8"/>
      <c r="AJ10" s="8"/>
      <c r="AK10" s="8"/>
      <c r="AL10" s="8"/>
      <c r="AM10" s="8"/>
    </row>
    <row r="11" spans="1:39" ht="49.9" customHeight="1" x14ac:dyDescent="0.3">
      <c r="A11" s="5" t="s">
        <v>30</v>
      </c>
      <c r="B11" s="59" t="s">
        <v>670</v>
      </c>
      <c r="D11" s="7" t="s">
        <v>676</v>
      </c>
      <c r="F11" s="5" t="str">
        <f t="shared" ref="F11:F42" si="0">_xlfn.CONCAT(G11,H11,I11,J11,K11,L11,M11,N11,O11,P11,Q11,R11,S11,T11,U11,V11,W11,X11,Y11,Z11,AA11,AB11,AC11,AD11,AE11,AF11,AG11,AH11,AI11,AJ11,AK11,AL11)</f>
        <v>IK-RHB1-02-F0220-MV-D-50K-WD-12-BK-BFU</v>
      </c>
      <c r="G11" s="8" t="s">
        <v>8</v>
      </c>
      <c r="H11" s="8" t="s">
        <v>7</v>
      </c>
      <c r="I11" s="8" t="s">
        <v>672</v>
      </c>
      <c r="J11" s="8">
        <v>1</v>
      </c>
      <c r="K11" s="8" t="s">
        <v>7</v>
      </c>
      <c r="L11" s="9" t="s">
        <v>9</v>
      </c>
      <c r="M11" s="8" t="s">
        <v>7</v>
      </c>
      <c r="N11" s="8" t="s">
        <v>35</v>
      </c>
      <c r="O11" s="8" t="s">
        <v>77</v>
      </c>
      <c r="P11" s="8" t="s">
        <v>7</v>
      </c>
      <c r="Q11" s="8" t="s">
        <v>10</v>
      </c>
      <c r="R11" s="8" t="s">
        <v>7</v>
      </c>
      <c r="S11" s="8" t="s">
        <v>11</v>
      </c>
      <c r="T11" s="8" t="s">
        <v>7</v>
      </c>
      <c r="U11" s="8" t="s">
        <v>43</v>
      </c>
      <c r="V11" s="8" t="s">
        <v>7</v>
      </c>
      <c r="W11" s="8" t="s">
        <v>13</v>
      </c>
      <c r="X11" s="8" t="s">
        <v>7</v>
      </c>
      <c r="Y11" s="10">
        <v>12</v>
      </c>
      <c r="Z11" s="8" t="s">
        <v>7</v>
      </c>
      <c r="AA11" s="8" t="s">
        <v>14</v>
      </c>
      <c r="AB11" s="8" t="s">
        <v>7</v>
      </c>
      <c r="AC11" s="8" t="s">
        <v>15</v>
      </c>
      <c r="AE11" s="8"/>
      <c r="AF11" s="8"/>
      <c r="AG11" s="8"/>
      <c r="AH11" s="8"/>
      <c r="AI11" s="8"/>
      <c r="AJ11" s="8"/>
      <c r="AK11" s="8"/>
      <c r="AL11" s="8"/>
      <c r="AM11" s="8"/>
    </row>
    <row r="12" spans="1:39" ht="49.9" customHeight="1" x14ac:dyDescent="0.3">
      <c r="A12" s="5" t="s">
        <v>286</v>
      </c>
      <c r="B12" s="59" t="s">
        <v>455</v>
      </c>
      <c r="D12" s="7" t="s">
        <v>456</v>
      </c>
      <c r="F12" s="5" t="str">
        <f t="shared" si="0"/>
        <v>IK-LHB4-01-S0165-MV-D-CCT-WD-09-WH-BFU</v>
      </c>
      <c r="G12" s="8" t="s">
        <v>8</v>
      </c>
      <c r="H12" s="8" t="s">
        <v>7</v>
      </c>
      <c r="I12" s="8" t="s">
        <v>289</v>
      </c>
      <c r="J12" s="8">
        <v>4</v>
      </c>
      <c r="K12" s="8" t="s">
        <v>7</v>
      </c>
      <c r="L12" s="9" t="s">
        <v>27</v>
      </c>
      <c r="M12" s="8" t="s">
        <v>7</v>
      </c>
      <c r="N12" s="8" t="s">
        <v>21</v>
      </c>
      <c r="O12" s="8" t="s">
        <v>459</v>
      </c>
      <c r="P12" s="8" t="s">
        <v>7</v>
      </c>
      <c r="Q12" s="8" t="s">
        <v>10</v>
      </c>
      <c r="R12" s="8" t="s">
        <v>7</v>
      </c>
      <c r="S12" s="8" t="s">
        <v>11</v>
      </c>
      <c r="T12" s="8" t="s">
        <v>7</v>
      </c>
      <c r="U12" s="8" t="s">
        <v>12</v>
      </c>
      <c r="V12" s="8" t="s">
        <v>7</v>
      </c>
      <c r="W12" s="8" t="s">
        <v>13</v>
      </c>
      <c r="X12" s="8" t="s">
        <v>7</v>
      </c>
      <c r="Y12" s="10" t="s">
        <v>276</v>
      </c>
      <c r="Z12" s="8" t="s">
        <v>7</v>
      </c>
      <c r="AA12" s="8" t="s">
        <v>49</v>
      </c>
      <c r="AB12" s="8" t="s">
        <v>7</v>
      </c>
      <c r="AC12" s="8" t="s">
        <v>15</v>
      </c>
      <c r="AE12" s="8"/>
      <c r="AF12" s="8"/>
      <c r="AG12" s="8"/>
      <c r="AH12" s="8"/>
      <c r="AI12" s="8"/>
      <c r="AJ12" s="8"/>
      <c r="AK12" s="8"/>
      <c r="AL12" s="8"/>
      <c r="AM12" s="8"/>
    </row>
    <row r="13" spans="1:39" ht="49.9" customHeight="1" x14ac:dyDescent="0.3">
      <c r="A13" s="5" t="s">
        <v>286</v>
      </c>
      <c r="B13" s="59" t="s">
        <v>290</v>
      </c>
      <c r="D13" s="7" t="s">
        <v>293</v>
      </c>
      <c r="F13" s="5" t="str">
        <f t="shared" si="0"/>
        <v>IK-LHB3-02-S0320-MV-D-CCT-WD-07-WH-BFU</v>
      </c>
      <c r="G13" s="8" t="s">
        <v>8</v>
      </c>
      <c r="H13" s="8" t="s">
        <v>7</v>
      </c>
      <c r="I13" s="8" t="s">
        <v>289</v>
      </c>
      <c r="J13" s="8">
        <v>3</v>
      </c>
      <c r="K13" s="8" t="s">
        <v>7</v>
      </c>
      <c r="L13" s="9" t="s">
        <v>9</v>
      </c>
      <c r="M13" s="8" t="s">
        <v>7</v>
      </c>
      <c r="N13" s="8" t="s">
        <v>21</v>
      </c>
      <c r="O13" s="8" t="s">
        <v>81</v>
      </c>
      <c r="P13" s="8" t="s">
        <v>7</v>
      </c>
      <c r="Q13" s="8" t="s">
        <v>10</v>
      </c>
      <c r="R13" s="8" t="s">
        <v>7</v>
      </c>
      <c r="S13" s="8" t="s">
        <v>11</v>
      </c>
      <c r="T13" s="8" t="s">
        <v>7</v>
      </c>
      <c r="U13" s="8" t="s">
        <v>12</v>
      </c>
      <c r="V13" s="8" t="s">
        <v>7</v>
      </c>
      <c r="W13" s="8" t="s">
        <v>13</v>
      </c>
      <c r="X13" s="8" t="s">
        <v>7</v>
      </c>
      <c r="Y13" s="10" t="s">
        <v>275</v>
      </c>
      <c r="Z13" s="8" t="s">
        <v>7</v>
      </c>
      <c r="AA13" s="8" t="s">
        <v>49</v>
      </c>
      <c r="AB13" s="8" t="s">
        <v>7</v>
      </c>
      <c r="AC13" s="8" t="s">
        <v>15</v>
      </c>
      <c r="AE13" s="8"/>
      <c r="AF13" s="8"/>
      <c r="AG13" s="8"/>
      <c r="AH13" s="8"/>
      <c r="AI13" s="8"/>
      <c r="AJ13" s="8"/>
      <c r="AK13" s="8"/>
      <c r="AL13" s="8"/>
      <c r="AM13" s="8"/>
    </row>
    <row r="14" spans="1:39" ht="49.9" customHeight="1" x14ac:dyDescent="0.3">
      <c r="A14" s="5" t="s">
        <v>286</v>
      </c>
      <c r="B14" s="59" t="s">
        <v>597</v>
      </c>
      <c r="D14" s="7" t="s">
        <v>557</v>
      </c>
      <c r="F14" s="5" t="str">
        <f t="shared" si="0"/>
        <v>IK-LHB2-02-S0150-MV-D-50K-WD-01-WH-BFU</v>
      </c>
      <c r="G14" s="8" t="s">
        <v>8</v>
      </c>
      <c r="H14" s="8" t="s">
        <v>7</v>
      </c>
      <c r="I14" s="8" t="s">
        <v>289</v>
      </c>
      <c r="J14" s="8">
        <v>2</v>
      </c>
      <c r="K14" s="8" t="s">
        <v>7</v>
      </c>
      <c r="L14" s="9" t="s">
        <v>9</v>
      </c>
      <c r="M14" s="8" t="s">
        <v>7</v>
      </c>
      <c r="N14" s="8" t="s">
        <v>21</v>
      </c>
      <c r="O14" s="8" t="s">
        <v>74</v>
      </c>
      <c r="P14" s="8" t="s">
        <v>7</v>
      </c>
      <c r="Q14" s="8" t="s">
        <v>10</v>
      </c>
      <c r="R14" s="8" t="s">
        <v>7</v>
      </c>
      <c r="S14" s="8" t="s">
        <v>11</v>
      </c>
      <c r="T14" s="8" t="s">
        <v>7</v>
      </c>
      <c r="U14" s="8" t="s">
        <v>43</v>
      </c>
      <c r="V14" s="8" t="s">
        <v>7</v>
      </c>
      <c r="W14" s="8" t="s">
        <v>13</v>
      </c>
      <c r="X14" s="8" t="s">
        <v>7</v>
      </c>
      <c r="Y14" s="10" t="s">
        <v>27</v>
      </c>
      <c r="Z14" s="8" t="s">
        <v>7</v>
      </c>
      <c r="AA14" s="8" t="s">
        <v>49</v>
      </c>
      <c r="AB14" s="8" t="s">
        <v>7</v>
      </c>
      <c r="AC14" s="8" t="s">
        <v>15</v>
      </c>
      <c r="AE14" s="8"/>
      <c r="AF14" s="8"/>
      <c r="AG14" s="8"/>
      <c r="AH14" s="8"/>
      <c r="AI14" s="8"/>
      <c r="AJ14" s="8"/>
      <c r="AK14" s="8"/>
      <c r="AL14" s="8"/>
      <c r="AM14" s="8"/>
    </row>
    <row r="15" spans="1:39" ht="49.9" customHeight="1" x14ac:dyDescent="0.3">
      <c r="A15" s="5" t="s">
        <v>286</v>
      </c>
      <c r="B15" s="59" t="s">
        <v>597</v>
      </c>
      <c r="D15" s="7" t="s">
        <v>593</v>
      </c>
      <c r="F15" s="5" t="str">
        <f t="shared" si="0"/>
        <v>IK-LHB2-04-S0200-MV-D-50K-WD-01-WH-BFU</v>
      </c>
      <c r="G15" s="8" t="s">
        <v>8</v>
      </c>
      <c r="H15" s="8" t="s">
        <v>7</v>
      </c>
      <c r="I15" s="8" t="s">
        <v>289</v>
      </c>
      <c r="J15" s="8">
        <v>2</v>
      </c>
      <c r="K15" s="8" t="s">
        <v>7</v>
      </c>
      <c r="L15" s="9" t="s">
        <v>32</v>
      </c>
      <c r="M15" s="8" t="s">
        <v>7</v>
      </c>
      <c r="N15" s="8" t="s">
        <v>21</v>
      </c>
      <c r="O15" s="8" t="s">
        <v>76</v>
      </c>
      <c r="P15" s="8" t="s">
        <v>7</v>
      </c>
      <c r="Q15" s="8" t="s">
        <v>10</v>
      </c>
      <c r="R15" s="8" t="s">
        <v>7</v>
      </c>
      <c r="S15" s="8" t="s">
        <v>11</v>
      </c>
      <c r="T15" s="8" t="s">
        <v>7</v>
      </c>
      <c r="U15" s="8" t="s">
        <v>43</v>
      </c>
      <c r="V15" s="8" t="s">
        <v>7</v>
      </c>
      <c r="W15" s="8" t="s">
        <v>13</v>
      </c>
      <c r="X15" s="8" t="s">
        <v>7</v>
      </c>
      <c r="Y15" s="10" t="s">
        <v>27</v>
      </c>
      <c r="Z15" s="8" t="s">
        <v>7</v>
      </c>
      <c r="AA15" s="8" t="s">
        <v>49</v>
      </c>
      <c r="AB15" s="8" t="s">
        <v>7</v>
      </c>
      <c r="AC15" s="8" t="s">
        <v>15</v>
      </c>
      <c r="AE15" s="8"/>
      <c r="AF15" s="8"/>
      <c r="AG15" s="8"/>
      <c r="AH15" s="8"/>
      <c r="AI15" s="8"/>
      <c r="AJ15" s="8"/>
      <c r="AK15" s="8"/>
      <c r="AL15" s="8"/>
      <c r="AM15" s="8"/>
    </row>
    <row r="16" spans="1:39" ht="49.9" customHeight="1" x14ac:dyDescent="0.3">
      <c r="A16" s="5" t="s">
        <v>286</v>
      </c>
      <c r="B16" s="59" t="s">
        <v>597</v>
      </c>
      <c r="D16" s="7" t="s">
        <v>593</v>
      </c>
      <c r="F16" s="5" t="str">
        <f t="shared" si="0"/>
        <v>IK-LHB2-04-S0300-MV-D-50K-WD-01-WH-BFU</v>
      </c>
      <c r="G16" s="8" t="s">
        <v>8</v>
      </c>
      <c r="H16" s="8" t="s">
        <v>7</v>
      </c>
      <c r="I16" s="8" t="s">
        <v>289</v>
      </c>
      <c r="J16" s="8">
        <v>2</v>
      </c>
      <c r="K16" s="8" t="s">
        <v>7</v>
      </c>
      <c r="L16" s="9" t="s">
        <v>32</v>
      </c>
      <c r="M16" s="8" t="s">
        <v>7</v>
      </c>
      <c r="N16" s="8" t="s">
        <v>21</v>
      </c>
      <c r="O16" s="8" t="s">
        <v>80</v>
      </c>
      <c r="P16" s="8" t="s">
        <v>7</v>
      </c>
      <c r="Q16" s="8" t="s">
        <v>10</v>
      </c>
      <c r="R16" s="8" t="s">
        <v>7</v>
      </c>
      <c r="S16" s="8" t="s">
        <v>11</v>
      </c>
      <c r="T16" s="8" t="s">
        <v>7</v>
      </c>
      <c r="U16" s="8" t="s">
        <v>43</v>
      </c>
      <c r="V16" s="8" t="s">
        <v>7</v>
      </c>
      <c r="W16" s="8" t="s">
        <v>13</v>
      </c>
      <c r="X16" s="8" t="s">
        <v>7</v>
      </c>
      <c r="Y16" s="10" t="s">
        <v>27</v>
      </c>
      <c r="Z16" s="8" t="s">
        <v>7</v>
      </c>
      <c r="AA16" s="8" t="s">
        <v>49</v>
      </c>
      <c r="AB16" s="8" t="s">
        <v>7</v>
      </c>
      <c r="AC16" s="8" t="s">
        <v>15</v>
      </c>
      <c r="AE16" s="8"/>
      <c r="AF16" s="8"/>
      <c r="AG16" s="8"/>
      <c r="AH16" s="8"/>
      <c r="AI16" s="8"/>
      <c r="AJ16" s="8"/>
      <c r="AK16" s="8"/>
      <c r="AL16" s="8"/>
      <c r="AM16" s="8"/>
    </row>
    <row r="17" spans="1:39" ht="49.9" customHeight="1" x14ac:dyDescent="0.3">
      <c r="A17" s="5" t="s">
        <v>317</v>
      </c>
      <c r="B17" s="59" t="s">
        <v>460</v>
      </c>
      <c r="D17" s="7" t="s">
        <v>318</v>
      </c>
      <c r="F17" s="5" t="str">
        <f t="shared" si="0"/>
        <v>IK-LLB1-08-S0070-MV-D-CCT-WD-09-WH-BFU-SF</v>
      </c>
      <c r="G17" s="8" t="s">
        <v>8</v>
      </c>
      <c r="H17" s="8" t="s">
        <v>7</v>
      </c>
      <c r="I17" s="8" t="s">
        <v>319</v>
      </c>
      <c r="J17" s="8">
        <v>1</v>
      </c>
      <c r="K17" s="8" t="s">
        <v>7</v>
      </c>
      <c r="L17" s="9" t="s">
        <v>124</v>
      </c>
      <c r="M17" s="8" t="s">
        <v>7</v>
      </c>
      <c r="N17" s="8" t="s">
        <v>21</v>
      </c>
      <c r="O17" s="8" t="s">
        <v>69</v>
      </c>
      <c r="P17" s="8" t="s">
        <v>7</v>
      </c>
      <c r="Q17" s="8" t="s">
        <v>10</v>
      </c>
      <c r="R17" s="8" t="s">
        <v>7</v>
      </c>
      <c r="S17" s="8" t="s">
        <v>11</v>
      </c>
      <c r="T17" s="8" t="s">
        <v>7</v>
      </c>
      <c r="U17" s="8" t="s">
        <v>12</v>
      </c>
      <c r="V17" s="8" t="s">
        <v>7</v>
      </c>
      <c r="W17" s="8" t="s">
        <v>13</v>
      </c>
      <c r="X17" s="8" t="s">
        <v>7</v>
      </c>
      <c r="Y17" s="10" t="s">
        <v>276</v>
      </c>
      <c r="Z17" s="8" t="s">
        <v>7</v>
      </c>
      <c r="AA17" s="8" t="s">
        <v>49</v>
      </c>
      <c r="AB17" s="8" t="s">
        <v>7</v>
      </c>
      <c r="AC17" s="8" t="s">
        <v>15</v>
      </c>
      <c r="AD17" s="8" t="s">
        <v>7</v>
      </c>
      <c r="AE17" s="8" t="s">
        <v>252</v>
      </c>
      <c r="AF17" s="8"/>
      <c r="AG17" s="8"/>
      <c r="AH17" s="8"/>
      <c r="AI17" s="8"/>
      <c r="AJ17" s="8"/>
      <c r="AK17" s="8"/>
      <c r="AL17" s="8"/>
      <c r="AM17" s="8"/>
    </row>
    <row r="18" spans="1:39" ht="49.9" customHeight="1" x14ac:dyDescent="0.3">
      <c r="A18" s="5" t="s">
        <v>317</v>
      </c>
      <c r="B18" s="59" t="s">
        <v>462</v>
      </c>
      <c r="D18" s="7" t="s">
        <v>465</v>
      </c>
      <c r="F18" s="5" t="str">
        <f t="shared" si="0"/>
        <v>IK-LLB2-04-S0050-MS-D-CCT-WD-10-WH-BFU-SF</v>
      </c>
      <c r="G18" s="8" t="s">
        <v>8</v>
      </c>
      <c r="H18" s="8" t="s">
        <v>7</v>
      </c>
      <c r="I18" s="8" t="s">
        <v>319</v>
      </c>
      <c r="J18" s="8">
        <v>2</v>
      </c>
      <c r="K18" s="8" t="s">
        <v>7</v>
      </c>
      <c r="L18" s="9" t="s">
        <v>32</v>
      </c>
      <c r="M18" s="8" t="s">
        <v>7</v>
      </c>
      <c r="N18" s="8" t="s">
        <v>21</v>
      </c>
      <c r="O18" s="8" t="s">
        <v>67</v>
      </c>
      <c r="P18" s="8" t="s">
        <v>7</v>
      </c>
      <c r="Q18" s="8" t="s">
        <v>415</v>
      </c>
      <c r="R18" s="8" t="s">
        <v>7</v>
      </c>
      <c r="S18" s="8" t="s">
        <v>11</v>
      </c>
      <c r="T18" s="8" t="s">
        <v>7</v>
      </c>
      <c r="U18" s="8" t="s">
        <v>12</v>
      </c>
      <c r="V18" s="8" t="s">
        <v>7</v>
      </c>
      <c r="W18" s="8" t="s">
        <v>13</v>
      </c>
      <c r="X18" s="8" t="s">
        <v>7</v>
      </c>
      <c r="Y18" s="10">
        <v>10</v>
      </c>
      <c r="Z18" s="8" t="s">
        <v>7</v>
      </c>
      <c r="AA18" s="8" t="s">
        <v>49</v>
      </c>
      <c r="AB18" s="8" t="s">
        <v>7</v>
      </c>
      <c r="AC18" s="8" t="s">
        <v>15</v>
      </c>
      <c r="AD18" s="8" t="s">
        <v>7</v>
      </c>
      <c r="AE18" s="8" t="s">
        <v>252</v>
      </c>
      <c r="AF18" s="8"/>
      <c r="AG18" s="8"/>
      <c r="AH18" s="8"/>
      <c r="AI18" s="8"/>
      <c r="AJ18" s="8"/>
      <c r="AK18" s="8"/>
      <c r="AL18" s="8"/>
      <c r="AM18" s="8"/>
    </row>
    <row r="19" spans="1:39" ht="49.9" customHeight="1" x14ac:dyDescent="0.3">
      <c r="A19" s="5" t="s">
        <v>317</v>
      </c>
      <c r="B19" s="59" t="s">
        <v>325</v>
      </c>
      <c r="D19" s="7" t="s">
        <v>318</v>
      </c>
      <c r="F19" s="5" t="str">
        <f t="shared" si="0"/>
        <v>IK-LLB1-08-S0070-MV-D-CCT-WD-09-WH-BFU-SFMWS</v>
      </c>
      <c r="G19" s="8" t="s">
        <v>8</v>
      </c>
      <c r="H19" s="8" t="s">
        <v>7</v>
      </c>
      <c r="I19" s="8" t="s">
        <v>319</v>
      </c>
      <c r="J19" s="8">
        <v>1</v>
      </c>
      <c r="K19" s="8" t="s">
        <v>7</v>
      </c>
      <c r="L19" s="9" t="s">
        <v>124</v>
      </c>
      <c r="M19" s="8" t="s">
        <v>7</v>
      </c>
      <c r="N19" s="8" t="s">
        <v>21</v>
      </c>
      <c r="O19" s="8" t="s">
        <v>69</v>
      </c>
      <c r="P19" s="8" t="s">
        <v>7</v>
      </c>
      <c r="Q19" s="8" t="s">
        <v>10</v>
      </c>
      <c r="R19" s="8" t="s">
        <v>7</v>
      </c>
      <c r="S19" s="8" t="s">
        <v>11</v>
      </c>
      <c r="T19" s="8" t="s">
        <v>7</v>
      </c>
      <c r="U19" s="8" t="s">
        <v>12</v>
      </c>
      <c r="V19" s="8" t="s">
        <v>7</v>
      </c>
      <c r="W19" s="8" t="s">
        <v>13</v>
      </c>
      <c r="X19" s="8" t="s">
        <v>7</v>
      </c>
      <c r="Y19" s="10" t="s">
        <v>276</v>
      </c>
      <c r="Z19" s="8" t="s">
        <v>7</v>
      </c>
      <c r="AA19" s="8" t="s">
        <v>49</v>
      </c>
      <c r="AB19" s="8" t="s">
        <v>7</v>
      </c>
      <c r="AC19" s="8" t="s">
        <v>15</v>
      </c>
      <c r="AD19" s="8" t="s">
        <v>7</v>
      </c>
      <c r="AE19" s="8" t="s">
        <v>252</v>
      </c>
      <c r="AF19" s="8"/>
      <c r="AG19" s="8" t="s">
        <v>323</v>
      </c>
      <c r="AH19" s="8"/>
      <c r="AI19" s="8"/>
      <c r="AJ19" s="8"/>
      <c r="AK19" s="8"/>
      <c r="AL19" s="8"/>
      <c r="AM19" s="8"/>
    </row>
    <row r="20" spans="1:39" ht="49.9" customHeight="1" x14ac:dyDescent="0.3">
      <c r="A20" s="5" t="s">
        <v>326</v>
      </c>
      <c r="B20" s="59" t="s">
        <v>328</v>
      </c>
      <c r="D20" s="7" t="s">
        <v>330</v>
      </c>
      <c r="F20" s="5" t="str">
        <f t="shared" si="0"/>
        <v>IK-VTL1-02-S0025-MV-D-CCT-WD-00-GR-BFU</v>
      </c>
      <c r="G20" s="8" t="s">
        <v>8</v>
      </c>
      <c r="H20" s="8" t="s">
        <v>7</v>
      </c>
      <c r="I20" s="8" t="s">
        <v>332</v>
      </c>
      <c r="J20" s="8">
        <v>1</v>
      </c>
      <c r="K20" s="8" t="s">
        <v>7</v>
      </c>
      <c r="L20" s="9" t="s">
        <v>9</v>
      </c>
      <c r="M20" s="8" t="s">
        <v>7</v>
      </c>
      <c r="N20" s="8" t="s">
        <v>21</v>
      </c>
      <c r="O20" s="8" t="s">
        <v>63</v>
      </c>
      <c r="P20" s="8" t="s">
        <v>7</v>
      </c>
      <c r="Q20" s="8" t="s">
        <v>10</v>
      </c>
      <c r="R20" s="8" t="s">
        <v>7</v>
      </c>
      <c r="S20" s="8" t="s">
        <v>11</v>
      </c>
      <c r="T20" s="8" t="s">
        <v>7</v>
      </c>
      <c r="U20" s="8" t="s">
        <v>12</v>
      </c>
      <c r="V20" s="8" t="s">
        <v>7</v>
      </c>
      <c r="W20" s="8" t="s">
        <v>13</v>
      </c>
      <c r="X20" s="8" t="s">
        <v>7</v>
      </c>
      <c r="Y20" s="10" t="s">
        <v>134</v>
      </c>
      <c r="Z20" s="8" t="s">
        <v>7</v>
      </c>
      <c r="AA20" s="8" t="s">
        <v>51</v>
      </c>
      <c r="AB20" s="8" t="s">
        <v>7</v>
      </c>
      <c r="AC20" s="8" t="s">
        <v>15</v>
      </c>
      <c r="AE20" s="8"/>
      <c r="AF20" s="8"/>
      <c r="AG20" s="8"/>
      <c r="AH20" s="8"/>
      <c r="AI20" s="8"/>
      <c r="AJ20" s="8"/>
      <c r="AK20" s="8"/>
      <c r="AL20" s="8"/>
      <c r="AM20" s="8"/>
    </row>
    <row r="21" spans="1:39" ht="49.9" customHeight="1" x14ac:dyDescent="0.3">
      <c r="A21" s="5" t="s">
        <v>326</v>
      </c>
      <c r="B21" s="59" t="s">
        <v>329</v>
      </c>
      <c r="C21" s="6">
        <v>662187484617</v>
      </c>
      <c r="D21" s="7" t="s">
        <v>331</v>
      </c>
      <c r="F21" s="5" t="str">
        <f t="shared" si="0"/>
        <v>IK-VTL1-04-S0040-MV-D-CCT-WD-00-GR-BFU</v>
      </c>
      <c r="G21" s="8" t="s">
        <v>8</v>
      </c>
      <c r="H21" s="8" t="s">
        <v>7</v>
      </c>
      <c r="I21" s="8" t="s">
        <v>332</v>
      </c>
      <c r="J21" s="8">
        <v>1</v>
      </c>
      <c r="K21" s="8" t="s">
        <v>7</v>
      </c>
      <c r="L21" s="9" t="s">
        <v>32</v>
      </c>
      <c r="M21" s="8" t="s">
        <v>7</v>
      </c>
      <c r="N21" s="8" t="s">
        <v>21</v>
      </c>
      <c r="O21" s="8" t="s">
        <v>66</v>
      </c>
      <c r="P21" s="8" t="s">
        <v>7</v>
      </c>
      <c r="Q21" s="8" t="s">
        <v>10</v>
      </c>
      <c r="R21" s="8" t="s">
        <v>7</v>
      </c>
      <c r="S21" s="8" t="s">
        <v>11</v>
      </c>
      <c r="T21" s="8" t="s">
        <v>7</v>
      </c>
      <c r="U21" s="8" t="s">
        <v>12</v>
      </c>
      <c r="V21" s="8" t="s">
        <v>7</v>
      </c>
      <c r="W21" s="8" t="s">
        <v>13</v>
      </c>
      <c r="X21" s="8" t="s">
        <v>7</v>
      </c>
      <c r="Y21" s="10" t="s">
        <v>134</v>
      </c>
      <c r="Z21" s="8" t="s">
        <v>7</v>
      </c>
      <c r="AA21" s="8" t="s">
        <v>51</v>
      </c>
      <c r="AB21" s="8" t="s">
        <v>7</v>
      </c>
      <c r="AC21" s="8" t="s">
        <v>15</v>
      </c>
      <c r="AE21" s="8"/>
      <c r="AF21" s="8"/>
      <c r="AG21" s="8"/>
      <c r="AH21" s="8"/>
      <c r="AI21" s="8"/>
      <c r="AJ21" s="8"/>
      <c r="AK21" s="8"/>
      <c r="AL21" s="8"/>
      <c r="AM21" s="8"/>
    </row>
    <row r="22" spans="1:39" ht="49.9" customHeight="1" x14ac:dyDescent="0.3">
      <c r="A22" s="5" t="s">
        <v>467</v>
      </c>
      <c r="B22" s="59" t="s">
        <v>469</v>
      </c>
      <c r="D22" s="7" t="s">
        <v>470</v>
      </c>
      <c r="F22" s="5" t="str">
        <f t="shared" si="0"/>
        <v>IK-WRL1-04-S0040-MV-D-CCT-WD-00-WH-BFU-SF</v>
      </c>
      <c r="G22" s="8" t="s">
        <v>8</v>
      </c>
      <c r="H22" s="8" t="s">
        <v>7</v>
      </c>
      <c r="I22" s="8" t="s">
        <v>471</v>
      </c>
      <c r="J22" s="8">
        <v>1</v>
      </c>
      <c r="K22" s="8" t="s">
        <v>7</v>
      </c>
      <c r="L22" s="9" t="s">
        <v>32</v>
      </c>
      <c r="M22" s="8" t="s">
        <v>7</v>
      </c>
      <c r="N22" s="8" t="s">
        <v>21</v>
      </c>
      <c r="O22" s="8" t="s">
        <v>66</v>
      </c>
      <c r="P22" s="8" t="s">
        <v>7</v>
      </c>
      <c r="Q22" s="8" t="s">
        <v>10</v>
      </c>
      <c r="R22" s="8" t="s">
        <v>7</v>
      </c>
      <c r="S22" s="8" t="s">
        <v>11</v>
      </c>
      <c r="T22" s="8" t="s">
        <v>7</v>
      </c>
      <c r="U22" s="8" t="s">
        <v>12</v>
      </c>
      <c r="V22" s="8" t="s">
        <v>7</v>
      </c>
      <c r="W22" s="8" t="s">
        <v>13</v>
      </c>
      <c r="X22" s="8" t="s">
        <v>7</v>
      </c>
      <c r="Y22" s="10" t="s">
        <v>134</v>
      </c>
      <c r="Z22" s="8" t="s">
        <v>7</v>
      </c>
      <c r="AA22" s="8" t="s">
        <v>49</v>
      </c>
      <c r="AB22" s="8" t="s">
        <v>7</v>
      </c>
      <c r="AC22" s="8" t="s">
        <v>15</v>
      </c>
      <c r="AD22" s="8" t="s">
        <v>7</v>
      </c>
      <c r="AE22" s="8" t="s">
        <v>252</v>
      </c>
      <c r="AF22" s="8"/>
      <c r="AG22" s="8"/>
      <c r="AH22" s="8"/>
      <c r="AI22" s="8"/>
      <c r="AJ22" s="8"/>
      <c r="AK22" s="8"/>
      <c r="AL22" s="8"/>
      <c r="AM22" s="8"/>
    </row>
    <row r="23" spans="1:39" ht="49.9" customHeight="1" x14ac:dyDescent="0.3">
      <c r="A23" s="5" t="s">
        <v>467</v>
      </c>
      <c r="B23" s="59" t="s">
        <v>667</v>
      </c>
      <c r="D23" s="7" t="s">
        <v>668</v>
      </c>
      <c r="F23" s="5" t="str">
        <f t="shared" si="0"/>
        <v>IK-WRL2-04-S0040-MV-D-CCT-WD-01-WH-BFU-SF</v>
      </c>
      <c r="G23" s="8" t="s">
        <v>8</v>
      </c>
      <c r="H23" s="8" t="s">
        <v>7</v>
      </c>
      <c r="I23" s="8" t="s">
        <v>471</v>
      </c>
      <c r="J23" s="8">
        <v>2</v>
      </c>
      <c r="K23" s="8" t="s">
        <v>7</v>
      </c>
      <c r="L23" s="9" t="s">
        <v>32</v>
      </c>
      <c r="M23" s="8" t="s">
        <v>7</v>
      </c>
      <c r="N23" s="8" t="s">
        <v>21</v>
      </c>
      <c r="O23" s="8" t="s">
        <v>66</v>
      </c>
      <c r="P23" s="8" t="s">
        <v>7</v>
      </c>
      <c r="Q23" s="8" t="s">
        <v>10</v>
      </c>
      <c r="R23" s="8" t="s">
        <v>7</v>
      </c>
      <c r="S23" s="8" t="s">
        <v>11</v>
      </c>
      <c r="T23" s="8" t="s">
        <v>7</v>
      </c>
      <c r="U23" s="8" t="s">
        <v>12</v>
      </c>
      <c r="V23" s="8" t="s">
        <v>7</v>
      </c>
      <c r="W23" s="8" t="s">
        <v>13</v>
      </c>
      <c r="X23" s="8" t="s">
        <v>7</v>
      </c>
      <c r="Y23" s="10" t="s">
        <v>27</v>
      </c>
      <c r="Z23" s="8" t="s">
        <v>7</v>
      </c>
      <c r="AA23" s="8" t="s">
        <v>49</v>
      </c>
      <c r="AB23" s="8" t="s">
        <v>7</v>
      </c>
      <c r="AC23" s="8" t="s">
        <v>15</v>
      </c>
      <c r="AD23" s="8" t="s">
        <v>7</v>
      </c>
      <c r="AE23" s="8" t="s">
        <v>252</v>
      </c>
      <c r="AF23" s="8"/>
      <c r="AG23" s="8"/>
      <c r="AH23" s="8"/>
      <c r="AI23" s="8"/>
      <c r="AJ23" s="8"/>
      <c r="AK23" s="8"/>
      <c r="AL23" s="8"/>
      <c r="AM23" s="8"/>
    </row>
    <row r="24" spans="1:39" ht="49.9" customHeight="1" x14ac:dyDescent="0.3">
      <c r="A24" s="5" t="s">
        <v>291</v>
      </c>
      <c r="B24" s="59" t="s">
        <v>292</v>
      </c>
      <c r="D24" s="7" t="s">
        <v>461</v>
      </c>
      <c r="F24" s="5" t="str">
        <f t="shared" si="0"/>
        <v>IK-ARL2-01-S0150-MV-D-CCT-T3-01-BR-BFU</v>
      </c>
      <c r="G24" s="8" t="s">
        <v>8</v>
      </c>
      <c r="H24" s="8" t="s">
        <v>7</v>
      </c>
      <c r="I24" s="8" t="s">
        <v>303</v>
      </c>
      <c r="J24" s="8">
        <v>2</v>
      </c>
      <c r="K24" s="8" t="s">
        <v>7</v>
      </c>
      <c r="L24" s="9" t="s">
        <v>27</v>
      </c>
      <c r="M24" s="8" t="s">
        <v>7</v>
      </c>
      <c r="N24" s="8" t="s">
        <v>21</v>
      </c>
      <c r="O24" s="8" t="s">
        <v>74</v>
      </c>
      <c r="P24" s="8" t="s">
        <v>7</v>
      </c>
      <c r="Q24" s="8" t="s">
        <v>10</v>
      </c>
      <c r="R24" s="8" t="s">
        <v>7</v>
      </c>
      <c r="S24" s="8" t="s">
        <v>11</v>
      </c>
      <c r="T24" s="8" t="s">
        <v>7</v>
      </c>
      <c r="U24" s="8" t="s">
        <v>12</v>
      </c>
      <c r="V24" s="8" t="s">
        <v>7</v>
      </c>
      <c r="W24" s="8" t="s">
        <v>294</v>
      </c>
      <c r="X24" s="8" t="s">
        <v>7</v>
      </c>
      <c r="Y24" s="10" t="s">
        <v>27</v>
      </c>
      <c r="Z24" s="8" t="s">
        <v>7</v>
      </c>
      <c r="AA24" s="8" t="s">
        <v>50</v>
      </c>
      <c r="AB24" s="8" t="s">
        <v>7</v>
      </c>
      <c r="AC24" s="8" t="s">
        <v>15</v>
      </c>
      <c r="AE24" s="8"/>
      <c r="AF24" s="8"/>
      <c r="AG24" s="8"/>
      <c r="AH24" s="8"/>
      <c r="AI24" s="8"/>
      <c r="AJ24" s="8"/>
      <c r="AK24" s="8"/>
      <c r="AL24" s="8"/>
      <c r="AM24" s="8"/>
    </row>
    <row r="25" spans="1:39" ht="49.9" customHeight="1" x14ac:dyDescent="0.3">
      <c r="A25" s="5" t="s">
        <v>291</v>
      </c>
      <c r="B25" s="59" t="s">
        <v>292</v>
      </c>
      <c r="C25" s="70">
        <v>662187484747</v>
      </c>
      <c r="D25" s="7" t="s">
        <v>660</v>
      </c>
      <c r="F25" s="5" t="str">
        <f t="shared" si="0"/>
        <v>IK-ARL2-01-S0150-MV-D-50K-T3-01-BR-BFU</v>
      </c>
      <c r="G25" s="8" t="s">
        <v>8</v>
      </c>
      <c r="H25" s="8" t="s">
        <v>7</v>
      </c>
      <c r="I25" s="8" t="s">
        <v>303</v>
      </c>
      <c r="J25" s="8">
        <v>2</v>
      </c>
      <c r="K25" s="8" t="s">
        <v>7</v>
      </c>
      <c r="L25" s="9" t="s">
        <v>27</v>
      </c>
      <c r="M25" s="8" t="s">
        <v>7</v>
      </c>
      <c r="N25" s="8" t="s">
        <v>21</v>
      </c>
      <c r="O25" s="8" t="s">
        <v>74</v>
      </c>
      <c r="P25" s="8" t="s">
        <v>7</v>
      </c>
      <c r="Q25" s="8" t="s">
        <v>10</v>
      </c>
      <c r="R25" s="8" t="s">
        <v>7</v>
      </c>
      <c r="S25" s="8" t="s">
        <v>11</v>
      </c>
      <c r="T25" s="8" t="s">
        <v>7</v>
      </c>
      <c r="U25" s="8" t="s">
        <v>43</v>
      </c>
      <c r="V25" s="8" t="s">
        <v>7</v>
      </c>
      <c r="W25" s="8" t="s">
        <v>294</v>
      </c>
      <c r="X25" s="8" t="s">
        <v>7</v>
      </c>
      <c r="Y25" s="10" t="s">
        <v>27</v>
      </c>
      <c r="Z25" s="8" t="s">
        <v>7</v>
      </c>
      <c r="AA25" s="8" t="s">
        <v>50</v>
      </c>
      <c r="AB25" s="8" t="s">
        <v>7</v>
      </c>
      <c r="AC25" s="8" t="s">
        <v>15</v>
      </c>
      <c r="AE25" s="8"/>
      <c r="AF25" s="8"/>
      <c r="AG25" s="8"/>
      <c r="AH25" s="8"/>
      <c r="AI25" s="8"/>
      <c r="AJ25" s="8"/>
      <c r="AK25" s="8"/>
      <c r="AL25" s="8"/>
      <c r="AM25" s="8"/>
    </row>
    <row r="26" spans="1:39" ht="49.9" customHeight="1" x14ac:dyDescent="0.3">
      <c r="A26" s="5" t="s">
        <v>291</v>
      </c>
      <c r="B26" s="59" t="s">
        <v>292</v>
      </c>
      <c r="C26" s="70">
        <v>662187484730</v>
      </c>
      <c r="D26" s="7" t="s">
        <v>661</v>
      </c>
      <c r="F26" s="5" t="str">
        <f t="shared" si="0"/>
        <v>IK-ARL2-01-S0150-MV-D-50K-T3-01-SL-BFU</v>
      </c>
      <c r="G26" s="8" t="s">
        <v>8</v>
      </c>
      <c r="H26" s="8" t="s">
        <v>7</v>
      </c>
      <c r="I26" s="8" t="s">
        <v>303</v>
      </c>
      <c r="J26" s="8">
        <v>2</v>
      </c>
      <c r="K26" s="8" t="s">
        <v>7</v>
      </c>
      <c r="L26" s="9" t="s">
        <v>27</v>
      </c>
      <c r="M26" s="8" t="s">
        <v>7</v>
      </c>
      <c r="N26" s="8" t="s">
        <v>21</v>
      </c>
      <c r="O26" s="8" t="s">
        <v>74</v>
      </c>
      <c r="P26" s="8" t="s">
        <v>7</v>
      </c>
      <c r="Q26" s="8" t="s">
        <v>10</v>
      </c>
      <c r="R26" s="8" t="s">
        <v>7</v>
      </c>
      <c r="S26" s="8" t="s">
        <v>11</v>
      </c>
      <c r="T26" s="8" t="s">
        <v>7</v>
      </c>
      <c r="U26" s="8" t="s">
        <v>43</v>
      </c>
      <c r="V26" s="8" t="s">
        <v>7</v>
      </c>
      <c r="W26" s="8" t="s">
        <v>294</v>
      </c>
      <c r="X26" s="8" t="s">
        <v>7</v>
      </c>
      <c r="Y26" s="10" t="s">
        <v>27</v>
      </c>
      <c r="Z26" s="8" t="s">
        <v>7</v>
      </c>
      <c r="AA26" s="8" t="s">
        <v>375</v>
      </c>
      <c r="AB26" s="8" t="s">
        <v>7</v>
      </c>
      <c r="AC26" s="8" t="s">
        <v>15</v>
      </c>
      <c r="AE26" s="8"/>
      <c r="AF26" s="8"/>
      <c r="AG26" s="8"/>
      <c r="AH26" s="8"/>
      <c r="AI26" s="8"/>
      <c r="AJ26" s="8"/>
      <c r="AK26" s="8"/>
      <c r="AL26" s="8"/>
      <c r="AM26" s="8"/>
    </row>
    <row r="27" spans="1:39" ht="49.9" customHeight="1" x14ac:dyDescent="0.3">
      <c r="A27" s="5" t="s">
        <v>291</v>
      </c>
      <c r="B27" s="59" t="s">
        <v>292</v>
      </c>
      <c r="D27" s="7" t="s">
        <v>659</v>
      </c>
      <c r="F27" s="5" t="str">
        <f t="shared" si="0"/>
        <v>IK-ARL2-01-S0150-MV-D-CCT-T3-01-SL-BFU</v>
      </c>
      <c r="G27" s="8" t="s">
        <v>8</v>
      </c>
      <c r="H27" s="8" t="s">
        <v>7</v>
      </c>
      <c r="I27" s="8" t="s">
        <v>303</v>
      </c>
      <c r="J27" s="8">
        <v>2</v>
      </c>
      <c r="K27" s="8" t="s">
        <v>7</v>
      </c>
      <c r="L27" s="9" t="s">
        <v>27</v>
      </c>
      <c r="M27" s="8" t="s">
        <v>7</v>
      </c>
      <c r="N27" s="8" t="s">
        <v>21</v>
      </c>
      <c r="O27" s="8" t="s">
        <v>74</v>
      </c>
      <c r="P27" s="8" t="s">
        <v>7</v>
      </c>
      <c r="Q27" s="8" t="s">
        <v>10</v>
      </c>
      <c r="R27" s="8" t="s">
        <v>7</v>
      </c>
      <c r="S27" s="8" t="s">
        <v>11</v>
      </c>
      <c r="T27" s="8" t="s">
        <v>7</v>
      </c>
      <c r="U27" s="8" t="s">
        <v>12</v>
      </c>
      <c r="V27" s="8" t="s">
        <v>7</v>
      </c>
      <c r="W27" s="8" t="s">
        <v>294</v>
      </c>
      <c r="X27" s="8" t="s">
        <v>7</v>
      </c>
      <c r="Y27" s="10" t="s">
        <v>27</v>
      </c>
      <c r="Z27" s="8" t="s">
        <v>7</v>
      </c>
      <c r="AA27" s="8" t="s">
        <v>375</v>
      </c>
      <c r="AB27" s="8" t="s">
        <v>7</v>
      </c>
      <c r="AC27" s="8" t="s">
        <v>15</v>
      </c>
      <c r="AE27" s="8"/>
      <c r="AF27" s="8"/>
      <c r="AG27" s="8"/>
      <c r="AH27" s="8"/>
      <c r="AI27" s="8"/>
      <c r="AJ27" s="8"/>
      <c r="AK27" s="8"/>
      <c r="AL27" s="8"/>
      <c r="AM27" s="8"/>
    </row>
    <row r="28" spans="1:39" ht="49.9" customHeight="1" x14ac:dyDescent="0.3">
      <c r="A28" s="5" t="s">
        <v>291</v>
      </c>
      <c r="B28" s="59" t="s">
        <v>292</v>
      </c>
      <c r="D28" s="7" t="s">
        <v>302</v>
      </c>
      <c r="F28" s="5" t="str">
        <f t="shared" si="0"/>
        <v>IK-ARL2-02-S0300-MV-D-CCT-T3-01-BR-BFU</v>
      </c>
      <c r="G28" s="8" t="s">
        <v>8</v>
      </c>
      <c r="H28" s="8" t="s">
        <v>7</v>
      </c>
      <c r="I28" s="8" t="s">
        <v>303</v>
      </c>
      <c r="J28" s="8">
        <v>2</v>
      </c>
      <c r="K28" s="8" t="s">
        <v>7</v>
      </c>
      <c r="L28" s="9" t="s">
        <v>9</v>
      </c>
      <c r="M28" s="8" t="s">
        <v>7</v>
      </c>
      <c r="N28" s="8" t="s">
        <v>21</v>
      </c>
      <c r="O28" s="8" t="s">
        <v>80</v>
      </c>
      <c r="P28" s="8" t="s">
        <v>7</v>
      </c>
      <c r="Q28" s="8" t="s">
        <v>10</v>
      </c>
      <c r="R28" s="8" t="s">
        <v>7</v>
      </c>
      <c r="S28" s="8" t="s">
        <v>11</v>
      </c>
      <c r="T28" s="8" t="s">
        <v>7</v>
      </c>
      <c r="U28" s="8" t="s">
        <v>12</v>
      </c>
      <c r="V28" s="8" t="s">
        <v>7</v>
      </c>
      <c r="W28" s="8" t="s">
        <v>294</v>
      </c>
      <c r="X28" s="8" t="s">
        <v>7</v>
      </c>
      <c r="Y28" s="10" t="s">
        <v>27</v>
      </c>
      <c r="Z28" s="8" t="s">
        <v>7</v>
      </c>
      <c r="AA28" s="8" t="s">
        <v>50</v>
      </c>
      <c r="AB28" s="8" t="s">
        <v>7</v>
      </c>
      <c r="AC28" s="8" t="s">
        <v>15</v>
      </c>
      <c r="AE28" s="8"/>
      <c r="AF28" s="8"/>
      <c r="AG28" s="8"/>
      <c r="AH28" s="8"/>
      <c r="AI28" s="8"/>
      <c r="AJ28" s="8"/>
      <c r="AK28" s="8"/>
      <c r="AL28" s="8"/>
      <c r="AM28" s="8"/>
    </row>
    <row r="29" spans="1:39" ht="49.9" customHeight="1" x14ac:dyDescent="0.3">
      <c r="A29" s="5" t="s">
        <v>291</v>
      </c>
      <c r="B29" s="59" t="s">
        <v>292</v>
      </c>
      <c r="D29" s="7" t="s">
        <v>305</v>
      </c>
      <c r="F29" s="5" t="str">
        <f t="shared" si="0"/>
        <v>IK-ARL2-02-S0300-HV-D-CCT-T3-01-BR-BFU</v>
      </c>
      <c r="G29" s="8" t="s">
        <v>8</v>
      </c>
      <c r="H29" s="8" t="s">
        <v>7</v>
      </c>
      <c r="I29" s="8" t="s">
        <v>303</v>
      </c>
      <c r="J29" s="8">
        <v>2</v>
      </c>
      <c r="K29" s="8" t="s">
        <v>7</v>
      </c>
      <c r="L29" s="9" t="s">
        <v>9</v>
      </c>
      <c r="M29" s="8" t="s">
        <v>7</v>
      </c>
      <c r="N29" s="8" t="s">
        <v>21</v>
      </c>
      <c r="O29" s="8" t="s">
        <v>80</v>
      </c>
      <c r="P29" s="8" t="s">
        <v>7</v>
      </c>
      <c r="Q29" s="8" t="s">
        <v>37</v>
      </c>
      <c r="R29" s="8" t="s">
        <v>7</v>
      </c>
      <c r="S29" s="8" t="s">
        <v>11</v>
      </c>
      <c r="T29" s="8" t="s">
        <v>7</v>
      </c>
      <c r="U29" s="8" t="s">
        <v>12</v>
      </c>
      <c r="V29" s="8" t="s">
        <v>7</v>
      </c>
      <c r="W29" s="8" t="s">
        <v>294</v>
      </c>
      <c r="X29" s="8" t="s">
        <v>7</v>
      </c>
      <c r="Y29" s="10" t="s">
        <v>27</v>
      </c>
      <c r="Z29" s="8" t="s">
        <v>7</v>
      </c>
      <c r="AA29" s="8" t="s">
        <v>50</v>
      </c>
      <c r="AB29" s="8" t="s">
        <v>7</v>
      </c>
      <c r="AC29" s="8" t="s">
        <v>15</v>
      </c>
      <c r="AE29" s="8"/>
      <c r="AF29" s="8"/>
      <c r="AG29" s="8"/>
      <c r="AH29" s="8"/>
      <c r="AI29" s="8"/>
      <c r="AJ29" s="8"/>
      <c r="AK29" s="8"/>
      <c r="AL29" s="8"/>
      <c r="AM29" s="8"/>
    </row>
    <row r="30" spans="1:39" ht="49.9" customHeight="1" x14ac:dyDescent="0.3">
      <c r="A30" s="5" t="s">
        <v>291</v>
      </c>
      <c r="B30" s="59" t="s">
        <v>634</v>
      </c>
      <c r="D30" s="7" t="s">
        <v>635</v>
      </c>
      <c r="F30" s="5" t="str">
        <f t="shared" si="0"/>
        <v>IK-ARL1-01-F0150-MV-D-50K-T3-02-BR-BFU</v>
      </c>
      <c r="G30" s="8" t="s">
        <v>8</v>
      </c>
      <c r="H30" s="8" t="s">
        <v>7</v>
      </c>
      <c r="I30" s="8" t="s">
        <v>303</v>
      </c>
      <c r="J30" s="8">
        <v>1</v>
      </c>
      <c r="K30" s="8" t="s">
        <v>7</v>
      </c>
      <c r="L30" s="9" t="s">
        <v>27</v>
      </c>
      <c r="M30" s="8" t="s">
        <v>7</v>
      </c>
      <c r="N30" s="8" t="s">
        <v>35</v>
      </c>
      <c r="O30" s="8" t="s">
        <v>74</v>
      </c>
      <c r="P30" s="8" t="s">
        <v>7</v>
      </c>
      <c r="Q30" s="8" t="s">
        <v>10</v>
      </c>
      <c r="R30" s="8" t="s">
        <v>7</v>
      </c>
      <c r="S30" s="8" t="s">
        <v>11</v>
      </c>
      <c r="T30" s="8" t="s">
        <v>7</v>
      </c>
      <c r="U30" s="8" t="s">
        <v>43</v>
      </c>
      <c r="V30" s="8" t="s">
        <v>7</v>
      </c>
      <c r="W30" s="8" t="s">
        <v>294</v>
      </c>
      <c r="X30" s="8" t="s">
        <v>7</v>
      </c>
      <c r="Y30" s="10" t="s">
        <v>9</v>
      </c>
      <c r="Z30" s="8" t="s">
        <v>7</v>
      </c>
      <c r="AA30" s="8" t="s">
        <v>50</v>
      </c>
      <c r="AB30" s="8" t="s">
        <v>7</v>
      </c>
      <c r="AC30" s="8" t="s">
        <v>15</v>
      </c>
      <c r="AE30" s="8"/>
      <c r="AF30" s="8"/>
      <c r="AG30" s="8"/>
      <c r="AH30" s="8"/>
      <c r="AI30" s="8"/>
      <c r="AJ30" s="8"/>
      <c r="AK30" s="8"/>
      <c r="AL30" s="8"/>
      <c r="AM30" s="8"/>
    </row>
    <row r="31" spans="1:39" ht="49.9" customHeight="1" x14ac:dyDescent="0.3">
      <c r="A31" s="5" t="s">
        <v>291</v>
      </c>
      <c r="B31" s="59" t="s">
        <v>663</v>
      </c>
      <c r="D31" s="7" t="s">
        <v>662</v>
      </c>
      <c r="F31" s="5" t="str">
        <f t="shared" si="0"/>
        <v>IK-ARL1-01-S0150-MV-D-50K-T3-02-BR-BFU</v>
      </c>
      <c r="G31" s="8" t="s">
        <v>8</v>
      </c>
      <c r="H31" s="8" t="s">
        <v>7</v>
      </c>
      <c r="I31" s="8" t="s">
        <v>303</v>
      </c>
      <c r="J31" s="8">
        <v>1</v>
      </c>
      <c r="K31" s="8" t="s">
        <v>7</v>
      </c>
      <c r="L31" s="9" t="s">
        <v>27</v>
      </c>
      <c r="M31" s="8" t="s">
        <v>7</v>
      </c>
      <c r="N31" s="8" t="s">
        <v>21</v>
      </c>
      <c r="O31" s="8" t="s">
        <v>74</v>
      </c>
      <c r="P31" s="8" t="s">
        <v>7</v>
      </c>
      <c r="Q31" s="8" t="s">
        <v>10</v>
      </c>
      <c r="R31" s="8" t="s">
        <v>7</v>
      </c>
      <c r="S31" s="8" t="s">
        <v>11</v>
      </c>
      <c r="T31" s="8" t="s">
        <v>7</v>
      </c>
      <c r="U31" s="8" t="s">
        <v>43</v>
      </c>
      <c r="V31" s="8" t="s">
        <v>7</v>
      </c>
      <c r="W31" s="8" t="s">
        <v>294</v>
      </c>
      <c r="X31" s="8" t="s">
        <v>7</v>
      </c>
      <c r="Y31" s="10" t="s">
        <v>9</v>
      </c>
      <c r="Z31" s="8" t="s">
        <v>7</v>
      </c>
      <c r="AA31" s="8" t="s">
        <v>50</v>
      </c>
      <c r="AB31" s="8" t="s">
        <v>7</v>
      </c>
      <c r="AC31" s="8" t="s">
        <v>15</v>
      </c>
      <c r="AE31" s="8"/>
      <c r="AF31" s="8"/>
      <c r="AG31" s="8"/>
      <c r="AH31" s="8"/>
      <c r="AI31" s="8"/>
      <c r="AJ31" s="8"/>
      <c r="AK31" s="8"/>
      <c r="AL31" s="8"/>
      <c r="AM31" s="8"/>
    </row>
    <row r="32" spans="1:39" ht="49.9" customHeight="1" x14ac:dyDescent="0.3">
      <c r="A32" s="5" t="s">
        <v>291</v>
      </c>
      <c r="B32" s="59" t="s">
        <v>665</v>
      </c>
      <c r="D32" s="7" t="s">
        <v>664</v>
      </c>
      <c r="F32" s="5" t="str">
        <f t="shared" si="0"/>
        <v>IK-ARL1-01-S0150-MV-D-50K-T3-02-SL-BFU</v>
      </c>
      <c r="G32" s="8" t="s">
        <v>8</v>
      </c>
      <c r="H32" s="8" t="s">
        <v>7</v>
      </c>
      <c r="I32" s="8" t="s">
        <v>303</v>
      </c>
      <c r="J32" s="8">
        <v>1</v>
      </c>
      <c r="K32" s="8" t="s">
        <v>7</v>
      </c>
      <c r="L32" s="9" t="s">
        <v>27</v>
      </c>
      <c r="M32" s="8" t="s">
        <v>7</v>
      </c>
      <c r="N32" s="8" t="s">
        <v>21</v>
      </c>
      <c r="O32" s="8" t="s">
        <v>74</v>
      </c>
      <c r="P32" s="8" t="s">
        <v>7</v>
      </c>
      <c r="Q32" s="8" t="s">
        <v>10</v>
      </c>
      <c r="R32" s="8" t="s">
        <v>7</v>
      </c>
      <c r="S32" s="8" t="s">
        <v>11</v>
      </c>
      <c r="T32" s="8" t="s">
        <v>7</v>
      </c>
      <c r="U32" s="8" t="s">
        <v>43</v>
      </c>
      <c r="V32" s="8" t="s">
        <v>7</v>
      </c>
      <c r="W32" s="8" t="s">
        <v>294</v>
      </c>
      <c r="X32" s="8" t="s">
        <v>7</v>
      </c>
      <c r="Y32" s="10" t="s">
        <v>9</v>
      </c>
      <c r="Z32" s="8" t="s">
        <v>7</v>
      </c>
      <c r="AA32" s="8" t="s">
        <v>375</v>
      </c>
      <c r="AB32" s="8" t="s">
        <v>7</v>
      </c>
      <c r="AC32" s="8" t="s">
        <v>15</v>
      </c>
      <c r="AE32" s="8"/>
      <c r="AF32" s="8"/>
      <c r="AG32" s="8"/>
      <c r="AH32" s="8"/>
      <c r="AI32" s="8"/>
      <c r="AJ32" s="8"/>
      <c r="AK32" s="8"/>
      <c r="AL32" s="8"/>
      <c r="AM32" s="8"/>
    </row>
    <row r="33" spans="1:39" ht="49.9" customHeight="1" x14ac:dyDescent="0.3">
      <c r="A33" s="5" t="s">
        <v>306</v>
      </c>
      <c r="B33" s="59" t="s">
        <v>472</v>
      </c>
      <c r="D33" s="7" t="s">
        <v>474</v>
      </c>
      <c r="F33" s="5" t="str">
        <f t="shared" si="0"/>
        <v>IK-WPKFC-01-S0050-MV-D-CCT-T3-10-BR-BFU</v>
      </c>
      <c r="G33" s="8" t="s">
        <v>8</v>
      </c>
      <c r="H33" s="8" t="s">
        <v>7</v>
      </c>
      <c r="I33" s="8" t="s">
        <v>310</v>
      </c>
      <c r="J33" s="8" t="s">
        <v>314</v>
      </c>
      <c r="K33" s="8" t="s">
        <v>7</v>
      </c>
      <c r="L33" s="9" t="s">
        <v>27</v>
      </c>
      <c r="M33" s="8" t="s">
        <v>7</v>
      </c>
      <c r="N33" s="8" t="s">
        <v>21</v>
      </c>
      <c r="O33" s="8" t="s">
        <v>67</v>
      </c>
      <c r="P33" s="8" t="s">
        <v>7</v>
      </c>
      <c r="Q33" s="8" t="s">
        <v>10</v>
      </c>
      <c r="R33" s="8" t="s">
        <v>7</v>
      </c>
      <c r="S33" s="8" t="s">
        <v>11</v>
      </c>
      <c r="T33" s="8" t="s">
        <v>7</v>
      </c>
      <c r="U33" s="8" t="s">
        <v>12</v>
      </c>
      <c r="V33" s="8" t="s">
        <v>7</v>
      </c>
      <c r="W33" s="8" t="s">
        <v>294</v>
      </c>
      <c r="X33" s="8" t="s">
        <v>7</v>
      </c>
      <c r="Y33" s="10">
        <v>10</v>
      </c>
      <c r="Z33" s="8" t="s">
        <v>7</v>
      </c>
      <c r="AA33" s="8" t="s">
        <v>50</v>
      </c>
      <c r="AB33" s="8" t="s">
        <v>7</v>
      </c>
      <c r="AC33" s="8" t="s">
        <v>15</v>
      </c>
      <c r="AE33" s="8"/>
      <c r="AF33" s="8"/>
      <c r="AG33" s="8"/>
      <c r="AH33" s="8"/>
      <c r="AI33" s="8"/>
      <c r="AJ33" s="8"/>
      <c r="AK33" s="8"/>
      <c r="AL33" s="8"/>
      <c r="AM33" s="8"/>
    </row>
    <row r="34" spans="1:39" ht="49.9" customHeight="1" x14ac:dyDescent="0.3">
      <c r="A34" s="5" t="s">
        <v>306</v>
      </c>
      <c r="B34" s="59" t="s">
        <v>629</v>
      </c>
      <c r="C34" s="70">
        <v>662187484570</v>
      </c>
      <c r="D34" s="7" t="s">
        <v>632</v>
      </c>
      <c r="F34" s="5" t="str">
        <f t="shared" si="0"/>
        <v>IK-WPKFC-03-F0048-MV-D-50K-T4-11-BR-BFU</v>
      </c>
      <c r="G34" s="8" t="s">
        <v>8</v>
      </c>
      <c r="H34" s="8" t="s">
        <v>7</v>
      </c>
      <c r="I34" s="8" t="s">
        <v>310</v>
      </c>
      <c r="J34" s="8" t="s">
        <v>314</v>
      </c>
      <c r="K34" s="8" t="s">
        <v>7</v>
      </c>
      <c r="L34" s="9" t="s">
        <v>34</v>
      </c>
      <c r="M34" s="8" t="s">
        <v>7</v>
      </c>
      <c r="N34" s="8" t="s">
        <v>35</v>
      </c>
      <c r="O34" s="8" t="s">
        <v>630</v>
      </c>
      <c r="P34" s="8" t="s">
        <v>7</v>
      </c>
      <c r="Q34" s="8" t="s">
        <v>10</v>
      </c>
      <c r="R34" s="8" t="s">
        <v>7</v>
      </c>
      <c r="S34" s="8" t="s">
        <v>11</v>
      </c>
      <c r="T34" s="8" t="s">
        <v>7</v>
      </c>
      <c r="U34" s="8" t="s">
        <v>43</v>
      </c>
      <c r="V34" s="8" t="s">
        <v>7</v>
      </c>
      <c r="W34" s="8" t="s">
        <v>297</v>
      </c>
      <c r="X34" s="8" t="s">
        <v>7</v>
      </c>
      <c r="Y34" s="10">
        <v>11</v>
      </c>
      <c r="Z34" s="8" t="s">
        <v>7</v>
      </c>
      <c r="AA34" s="8" t="s">
        <v>50</v>
      </c>
      <c r="AB34" s="8" t="s">
        <v>7</v>
      </c>
      <c r="AC34" s="8" t="s">
        <v>15</v>
      </c>
      <c r="AE34" s="8"/>
      <c r="AF34" s="8"/>
      <c r="AG34" s="8"/>
      <c r="AH34" s="8"/>
      <c r="AI34" s="8"/>
      <c r="AJ34" s="8"/>
      <c r="AK34" s="8"/>
      <c r="AL34" s="8"/>
      <c r="AM34" s="8"/>
    </row>
    <row r="35" spans="1:39" ht="49.9" customHeight="1" x14ac:dyDescent="0.3">
      <c r="A35" s="5" t="s">
        <v>306</v>
      </c>
      <c r="B35" s="59" t="s">
        <v>607</v>
      </c>
      <c r="D35" s="7" t="s">
        <v>608</v>
      </c>
      <c r="F35" s="5" t="str">
        <f t="shared" si="0"/>
        <v>IK-WPKFC-02-S0100-MV-D-CCT-T4-10-BR-BFU-PC10SP</v>
      </c>
      <c r="G35" s="8" t="s">
        <v>8</v>
      </c>
      <c r="H35" s="8" t="s">
        <v>7</v>
      </c>
      <c r="I35" s="8" t="s">
        <v>310</v>
      </c>
      <c r="J35" s="8" t="s">
        <v>314</v>
      </c>
      <c r="K35" s="8" t="s">
        <v>7</v>
      </c>
      <c r="L35" s="9" t="s">
        <v>9</v>
      </c>
      <c r="M35" s="8" t="s">
        <v>7</v>
      </c>
      <c r="N35" s="8" t="s">
        <v>21</v>
      </c>
      <c r="O35" s="8" t="s">
        <v>72</v>
      </c>
      <c r="P35" s="8" t="s">
        <v>7</v>
      </c>
      <c r="Q35" s="8" t="s">
        <v>10</v>
      </c>
      <c r="R35" s="8" t="s">
        <v>7</v>
      </c>
      <c r="S35" s="8" t="s">
        <v>11</v>
      </c>
      <c r="T35" s="8" t="s">
        <v>7</v>
      </c>
      <c r="U35" s="8" t="s">
        <v>12</v>
      </c>
      <c r="V35" s="8" t="s">
        <v>7</v>
      </c>
      <c r="W35" s="8" t="s">
        <v>297</v>
      </c>
      <c r="X35" s="8" t="s">
        <v>7</v>
      </c>
      <c r="Y35" s="10">
        <v>10</v>
      </c>
      <c r="Z35" s="8" t="s">
        <v>7</v>
      </c>
      <c r="AA35" s="8" t="s">
        <v>50</v>
      </c>
      <c r="AB35" s="8" t="s">
        <v>7</v>
      </c>
      <c r="AC35" s="8" t="s">
        <v>15</v>
      </c>
      <c r="AD35" s="8" t="s">
        <v>7</v>
      </c>
      <c r="AE35" s="8"/>
      <c r="AF35" s="8"/>
      <c r="AG35" s="8" t="s">
        <v>609</v>
      </c>
      <c r="AH35" s="8" t="s">
        <v>359</v>
      </c>
      <c r="AI35" s="8"/>
      <c r="AJ35" s="8"/>
      <c r="AK35" s="8"/>
      <c r="AL35" s="8"/>
      <c r="AM35" s="8"/>
    </row>
    <row r="36" spans="1:39" ht="49.9" customHeight="1" x14ac:dyDescent="0.3">
      <c r="A36" s="5" t="s">
        <v>306</v>
      </c>
      <c r="B36" s="59" t="s">
        <v>631</v>
      </c>
      <c r="C36" s="6">
        <v>662187484587</v>
      </c>
      <c r="D36" s="7" t="s">
        <v>633</v>
      </c>
      <c r="F36" s="5" t="str">
        <f t="shared" si="0"/>
        <v>IK-WPKSC-03-F0048-MV-D-50K-T4-11-BR-BFU</v>
      </c>
      <c r="G36" s="8" t="s">
        <v>8</v>
      </c>
      <c r="H36" s="8" t="s">
        <v>7</v>
      </c>
      <c r="I36" s="8" t="s">
        <v>310</v>
      </c>
      <c r="J36" s="8" t="s">
        <v>251</v>
      </c>
      <c r="K36" s="8" t="s">
        <v>7</v>
      </c>
      <c r="L36" s="9" t="s">
        <v>34</v>
      </c>
      <c r="M36" s="8" t="s">
        <v>7</v>
      </c>
      <c r="N36" s="8" t="s">
        <v>35</v>
      </c>
      <c r="O36" s="8" t="s">
        <v>630</v>
      </c>
      <c r="P36" s="8" t="s">
        <v>7</v>
      </c>
      <c r="Q36" s="8" t="s">
        <v>10</v>
      </c>
      <c r="R36" s="8" t="s">
        <v>7</v>
      </c>
      <c r="S36" s="8" t="s">
        <v>11</v>
      </c>
      <c r="T36" s="8" t="s">
        <v>7</v>
      </c>
      <c r="U36" s="8" t="s">
        <v>43</v>
      </c>
      <c r="V36" s="8" t="s">
        <v>7</v>
      </c>
      <c r="W36" s="8" t="s">
        <v>297</v>
      </c>
      <c r="X36" s="8" t="s">
        <v>7</v>
      </c>
      <c r="Y36" s="10">
        <v>11</v>
      </c>
      <c r="Z36" s="8" t="s">
        <v>7</v>
      </c>
      <c r="AA36" s="8" t="s">
        <v>50</v>
      </c>
      <c r="AB36" s="8" t="s">
        <v>7</v>
      </c>
      <c r="AC36" s="8" t="s">
        <v>15</v>
      </c>
      <c r="AE36" s="8"/>
      <c r="AF36" s="8"/>
      <c r="AG36" s="8"/>
      <c r="AH36" s="8"/>
      <c r="AI36" s="8"/>
      <c r="AJ36" s="8"/>
      <c r="AK36" s="8"/>
      <c r="AL36" s="8"/>
      <c r="AM36" s="8"/>
    </row>
    <row r="37" spans="1:39" ht="49.9" customHeight="1" x14ac:dyDescent="0.3">
      <c r="A37" s="5" t="s">
        <v>306</v>
      </c>
      <c r="B37" s="59" t="s">
        <v>307</v>
      </c>
      <c r="D37" s="7" t="s">
        <v>308</v>
      </c>
      <c r="F37" s="5" t="str">
        <f t="shared" si="0"/>
        <v>IK-WPKSC-01-S0120-MV-D-CCT-T2-08-BR-BFU</v>
      </c>
      <c r="G37" s="8" t="s">
        <v>8</v>
      </c>
      <c r="H37" s="8" t="s">
        <v>7</v>
      </c>
      <c r="I37" s="8" t="s">
        <v>310</v>
      </c>
      <c r="J37" s="8" t="s">
        <v>251</v>
      </c>
      <c r="K37" s="8" t="s">
        <v>7</v>
      </c>
      <c r="L37" s="9" t="s">
        <v>27</v>
      </c>
      <c r="M37" s="8" t="s">
        <v>7</v>
      </c>
      <c r="N37" s="8" t="s">
        <v>21</v>
      </c>
      <c r="O37" s="8" t="s">
        <v>73</v>
      </c>
      <c r="P37" s="8" t="s">
        <v>7</v>
      </c>
      <c r="Q37" s="8" t="s">
        <v>10</v>
      </c>
      <c r="R37" s="8" t="s">
        <v>7</v>
      </c>
      <c r="S37" s="8" t="s">
        <v>11</v>
      </c>
      <c r="T37" s="8" t="s">
        <v>7</v>
      </c>
      <c r="U37" s="8" t="s">
        <v>12</v>
      </c>
      <c r="V37" s="8" t="s">
        <v>7</v>
      </c>
      <c r="W37" s="8" t="s">
        <v>296</v>
      </c>
      <c r="X37" s="8" t="s">
        <v>7</v>
      </c>
      <c r="Y37" s="10" t="s">
        <v>124</v>
      </c>
      <c r="Z37" s="8" t="s">
        <v>7</v>
      </c>
      <c r="AA37" s="8" t="s">
        <v>50</v>
      </c>
      <c r="AB37" s="8" t="s">
        <v>7</v>
      </c>
      <c r="AC37" s="8" t="s">
        <v>15</v>
      </c>
      <c r="AE37" s="8"/>
      <c r="AF37" s="8"/>
      <c r="AG37" s="8"/>
      <c r="AH37" s="8"/>
      <c r="AI37" s="8"/>
      <c r="AJ37" s="8"/>
      <c r="AK37" s="8"/>
      <c r="AL37" s="8"/>
      <c r="AM37" s="8"/>
    </row>
    <row r="38" spans="1:39" ht="49.9" customHeight="1" x14ac:dyDescent="0.3">
      <c r="A38" s="5" t="s">
        <v>109</v>
      </c>
      <c r="B38" s="59" t="s">
        <v>337</v>
      </c>
      <c r="D38" s="7" t="s">
        <v>146</v>
      </c>
      <c r="F38" s="66" t="str">
        <f t="shared" si="0"/>
        <v>IK-RDL2-03-F0006-LV-D-CCT-WD-00-WH-BFU-SFxy</v>
      </c>
      <c r="G38" s="8" t="s">
        <v>8</v>
      </c>
      <c r="H38" s="8" t="s">
        <v>7</v>
      </c>
      <c r="I38" s="8" t="s">
        <v>107</v>
      </c>
      <c r="J38" s="8">
        <v>2</v>
      </c>
      <c r="K38" s="8" t="s">
        <v>7</v>
      </c>
      <c r="L38" s="9" t="s">
        <v>34</v>
      </c>
      <c r="M38" s="8" t="s">
        <v>7</v>
      </c>
      <c r="N38" s="8" t="s">
        <v>35</v>
      </c>
      <c r="O38" s="8" t="s">
        <v>136</v>
      </c>
      <c r="P38" s="8" t="s">
        <v>7</v>
      </c>
      <c r="Q38" s="8" t="s">
        <v>36</v>
      </c>
      <c r="R38" s="8" t="s">
        <v>7</v>
      </c>
      <c r="S38" s="8" t="s">
        <v>11</v>
      </c>
      <c r="T38" s="8" t="s">
        <v>7</v>
      </c>
      <c r="U38" s="8" t="s">
        <v>12</v>
      </c>
      <c r="V38" s="8" t="s">
        <v>7</v>
      </c>
      <c r="W38" s="8" t="s">
        <v>13</v>
      </c>
      <c r="X38" s="8" t="s">
        <v>7</v>
      </c>
      <c r="Y38" s="10" t="s">
        <v>134</v>
      </c>
      <c r="Z38" s="8" t="s">
        <v>7</v>
      </c>
      <c r="AA38" s="8" t="s">
        <v>49</v>
      </c>
      <c r="AB38" s="8" t="s">
        <v>7</v>
      </c>
      <c r="AC38" s="8" t="s">
        <v>15</v>
      </c>
      <c r="AD38" s="8" t="s">
        <v>7</v>
      </c>
      <c r="AE38" s="8" t="s">
        <v>252</v>
      </c>
      <c r="AF38" s="8" t="s">
        <v>352</v>
      </c>
      <c r="AG38" s="8" t="s">
        <v>353</v>
      </c>
      <c r="AH38" s="8"/>
      <c r="AI38" s="8"/>
      <c r="AJ38" s="8"/>
      <c r="AK38" s="8"/>
      <c r="AL38" s="8"/>
      <c r="AM38" s="8"/>
    </row>
    <row r="39" spans="1:39" ht="49.9" customHeight="1" x14ac:dyDescent="0.3">
      <c r="A39" s="5" t="s">
        <v>109</v>
      </c>
      <c r="B39" s="59" t="s">
        <v>337</v>
      </c>
      <c r="D39" s="7" t="s">
        <v>147</v>
      </c>
      <c r="F39" s="66" t="str">
        <f t="shared" si="0"/>
        <v>IK-RDL2-04-F0009-LV-D-CCT-WD-00-WH-BFU-SFxy</v>
      </c>
      <c r="G39" s="8" t="s">
        <v>8</v>
      </c>
      <c r="H39" s="8" t="s">
        <v>7</v>
      </c>
      <c r="I39" s="8" t="s">
        <v>107</v>
      </c>
      <c r="J39" s="8">
        <v>2</v>
      </c>
      <c r="K39" s="8" t="s">
        <v>7</v>
      </c>
      <c r="L39" s="9" t="s">
        <v>32</v>
      </c>
      <c r="M39" s="8" t="s">
        <v>7</v>
      </c>
      <c r="N39" s="8" t="s">
        <v>35</v>
      </c>
      <c r="O39" s="8" t="s">
        <v>137</v>
      </c>
      <c r="P39" s="8" t="s">
        <v>7</v>
      </c>
      <c r="Q39" s="8" t="s">
        <v>36</v>
      </c>
      <c r="R39" s="8" t="s">
        <v>7</v>
      </c>
      <c r="S39" s="8" t="s">
        <v>11</v>
      </c>
      <c r="T39" s="8" t="s">
        <v>7</v>
      </c>
      <c r="U39" s="8" t="s">
        <v>12</v>
      </c>
      <c r="V39" s="8" t="s">
        <v>7</v>
      </c>
      <c r="W39" s="8" t="s">
        <v>13</v>
      </c>
      <c r="X39" s="8" t="s">
        <v>7</v>
      </c>
      <c r="Y39" s="10" t="s">
        <v>134</v>
      </c>
      <c r="Z39" s="8" t="s">
        <v>7</v>
      </c>
      <c r="AA39" s="8" t="s">
        <v>49</v>
      </c>
      <c r="AB39" s="8" t="s">
        <v>7</v>
      </c>
      <c r="AC39" s="8" t="s">
        <v>15</v>
      </c>
      <c r="AD39" s="8" t="s">
        <v>7</v>
      </c>
      <c r="AE39" s="8" t="s">
        <v>252</v>
      </c>
      <c r="AF39" s="8" t="s">
        <v>352</v>
      </c>
      <c r="AG39" s="8" t="s">
        <v>353</v>
      </c>
      <c r="AH39" s="8"/>
      <c r="AI39" s="8"/>
      <c r="AJ39" s="8"/>
      <c r="AK39" s="8"/>
      <c r="AL39" s="8"/>
      <c r="AM39" s="8"/>
    </row>
    <row r="40" spans="1:39" ht="49.9" customHeight="1" x14ac:dyDescent="0.3">
      <c r="A40" s="5" t="s">
        <v>109</v>
      </c>
      <c r="B40" s="59" t="s">
        <v>337</v>
      </c>
      <c r="D40" s="7" t="s">
        <v>145</v>
      </c>
      <c r="F40" s="66" t="str">
        <f t="shared" si="0"/>
        <v>IK-RDL2-06-F0012-LV-D-CCT-WD-00-WH-BFU-SFxy</v>
      </c>
      <c r="G40" s="8" t="s">
        <v>8</v>
      </c>
      <c r="H40" s="8" t="s">
        <v>7</v>
      </c>
      <c r="I40" s="8" t="s">
        <v>107</v>
      </c>
      <c r="J40" s="8">
        <v>2</v>
      </c>
      <c r="K40" s="8" t="s">
        <v>7</v>
      </c>
      <c r="L40" s="9" t="s">
        <v>123</v>
      </c>
      <c r="M40" s="8" t="s">
        <v>7</v>
      </c>
      <c r="N40" s="8" t="s">
        <v>35</v>
      </c>
      <c r="O40" s="8" t="s">
        <v>58</v>
      </c>
      <c r="P40" s="8" t="s">
        <v>7</v>
      </c>
      <c r="Q40" s="8" t="s">
        <v>36</v>
      </c>
      <c r="R40" s="8" t="s">
        <v>7</v>
      </c>
      <c r="S40" s="8" t="s">
        <v>11</v>
      </c>
      <c r="T40" s="8" t="s">
        <v>7</v>
      </c>
      <c r="U40" s="8" t="s">
        <v>12</v>
      </c>
      <c r="V40" s="8" t="s">
        <v>7</v>
      </c>
      <c r="W40" s="8" t="s">
        <v>13</v>
      </c>
      <c r="X40" s="8" t="s">
        <v>7</v>
      </c>
      <c r="Y40" s="10" t="s">
        <v>134</v>
      </c>
      <c r="Z40" s="8" t="s">
        <v>7</v>
      </c>
      <c r="AA40" s="8" t="s">
        <v>49</v>
      </c>
      <c r="AB40" s="8" t="s">
        <v>7</v>
      </c>
      <c r="AC40" s="8" t="s">
        <v>15</v>
      </c>
      <c r="AD40" s="8" t="s">
        <v>7</v>
      </c>
      <c r="AE40" s="8" t="s">
        <v>252</v>
      </c>
      <c r="AF40" s="8" t="s">
        <v>352</v>
      </c>
      <c r="AG40" s="8" t="s">
        <v>353</v>
      </c>
      <c r="AH40" s="8"/>
      <c r="AI40" s="8"/>
      <c r="AJ40" s="8"/>
      <c r="AK40" s="8"/>
      <c r="AL40" s="8"/>
      <c r="AM40" s="8"/>
    </row>
    <row r="41" spans="1:39" ht="49.9" customHeight="1" x14ac:dyDescent="0.3">
      <c r="A41" s="5" t="s">
        <v>109</v>
      </c>
      <c r="B41" s="59" t="s">
        <v>337</v>
      </c>
      <c r="D41" s="7" t="s">
        <v>172</v>
      </c>
      <c r="F41" s="66" t="str">
        <f t="shared" si="0"/>
        <v>IK-RDL2-06-F0015-LV-D-CCT-WD-00-WH-BFU-SFxy</v>
      </c>
      <c r="G41" s="8" t="s">
        <v>8</v>
      </c>
      <c r="H41" s="8" t="s">
        <v>7</v>
      </c>
      <c r="I41" s="8" t="s">
        <v>107</v>
      </c>
      <c r="J41" s="8">
        <v>2</v>
      </c>
      <c r="K41" s="8" t="s">
        <v>7</v>
      </c>
      <c r="L41" s="9" t="s">
        <v>123</v>
      </c>
      <c r="M41" s="8" t="s">
        <v>7</v>
      </c>
      <c r="N41" s="8" t="s">
        <v>35</v>
      </c>
      <c r="O41" s="8" t="s">
        <v>59</v>
      </c>
      <c r="P41" s="8" t="s">
        <v>7</v>
      </c>
      <c r="Q41" s="8" t="s">
        <v>36</v>
      </c>
      <c r="R41" s="8" t="s">
        <v>7</v>
      </c>
      <c r="S41" s="8" t="s">
        <v>11</v>
      </c>
      <c r="T41" s="8" t="s">
        <v>7</v>
      </c>
      <c r="U41" s="8" t="s">
        <v>12</v>
      </c>
      <c r="V41" s="8" t="s">
        <v>7</v>
      </c>
      <c r="W41" s="8" t="s">
        <v>13</v>
      </c>
      <c r="X41" s="8" t="s">
        <v>7</v>
      </c>
      <c r="Y41" s="10" t="s">
        <v>134</v>
      </c>
      <c r="Z41" s="8" t="s">
        <v>7</v>
      </c>
      <c r="AA41" s="8" t="s">
        <v>49</v>
      </c>
      <c r="AB41" s="8" t="s">
        <v>7</v>
      </c>
      <c r="AC41" s="8" t="s">
        <v>15</v>
      </c>
      <c r="AD41" s="8" t="s">
        <v>7</v>
      </c>
      <c r="AE41" s="8" t="s">
        <v>252</v>
      </c>
      <c r="AF41" s="8" t="s">
        <v>352</v>
      </c>
      <c r="AG41" s="8" t="s">
        <v>353</v>
      </c>
      <c r="AH41" s="8"/>
      <c r="AI41" s="8"/>
      <c r="AJ41" s="8"/>
      <c r="AK41" s="8"/>
      <c r="AL41" s="8"/>
      <c r="AM41" s="8"/>
    </row>
    <row r="42" spans="1:39" ht="49.9" customHeight="1" x14ac:dyDescent="0.3">
      <c r="A42" s="5" t="s">
        <v>109</v>
      </c>
      <c r="B42" s="59" t="s">
        <v>337</v>
      </c>
      <c r="D42" s="7" t="s">
        <v>148</v>
      </c>
      <c r="F42" s="66" t="str">
        <f t="shared" si="0"/>
        <v>IK-RDL2-08-F0018-LV-D-CCT-WD-00-WH-BFU-SFxy</v>
      </c>
      <c r="G42" s="8" t="s">
        <v>8</v>
      </c>
      <c r="H42" s="8" t="s">
        <v>7</v>
      </c>
      <c r="I42" s="8" t="s">
        <v>107</v>
      </c>
      <c r="J42" s="8">
        <v>2</v>
      </c>
      <c r="K42" s="8" t="s">
        <v>7</v>
      </c>
      <c r="L42" s="9" t="s">
        <v>124</v>
      </c>
      <c r="M42" s="8" t="s">
        <v>7</v>
      </c>
      <c r="N42" s="8" t="s">
        <v>35</v>
      </c>
      <c r="O42" s="8" t="s">
        <v>60</v>
      </c>
      <c r="P42" s="8" t="s">
        <v>7</v>
      </c>
      <c r="Q42" s="8" t="s">
        <v>36</v>
      </c>
      <c r="R42" s="8" t="s">
        <v>7</v>
      </c>
      <c r="S42" s="8" t="s">
        <v>11</v>
      </c>
      <c r="T42" s="8" t="s">
        <v>7</v>
      </c>
      <c r="U42" s="8" t="s">
        <v>12</v>
      </c>
      <c r="V42" s="8" t="s">
        <v>7</v>
      </c>
      <c r="W42" s="8" t="s">
        <v>13</v>
      </c>
      <c r="X42" s="8" t="s">
        <v>7</v>
      </c>
      <c r="Y42" s="10" t="s">
        <v>134</v>
      </c>
      <c r="Z42" s="8" t="s">
        <v>7</v>
      </c>
      <c r="AA42" s="8" t="s">
        <v>49</v>
      </c>
      <c r="AB42" s="8" t="s">
        <v>7</v>
      </c>
      <c r="AC42" s="8" t="s">
        <v>15</v>
      </c>
      <c r="AD42" s="8" t="s">
        <v>7</v>
      </c>
      <c r="AE42" s="8" t="s">
        <v>252</v>
      </c>
      <c r="AF42" s="8" t="s">
        <v>352</v>
      </c>
      <c r="AG42" s="8" t="s">
        <v>353</v>
      </c>
      <c r="AH42" s="8"/>
      <c r="AI42" s="8"/>
      <c r="AJ42" s="8"/>
      <c r="AK42" s="8"/>
      <c r="AL42" s="8"/>
      <c r="AM42" s="8"/>
    </row>
    <row r="43" spans="1:39" ht="49.9" customHeight="1" x14ac:dyDescent="0.3">
      <c r="A43" s="5" t="s">
        <v>109</v>
      </c>
      <c r="B43" s="59" t="s">
        <v>337</v>
      </c>
      <c r="D43" s="7" t="s">
        <v>149</v>
      </c>
      <c r="F43" s="66" t="str">
        <f t="shared" ref="F43:F74" si="1">_xlfn.CONCAT(G43,H43,I43,J43,K43,L43,M43,N43,O43,P43,Q43,R43,S43,T43,U43,V43,W43,X43,Y43,Z43,AA43,AB43,AC43,AD43,AE43,AF43,AG43,AH43,AI43,AJ43,AK43,AL43)</f>
        <v>IK-RDL2-12-F0024-LV-D-CCT-WD-00-WH-BFU-SFxy</v>
      </c>
      <c r="G43" s="8" t="s">
        <v>8</v>
      </c>
      <c r="H43" s="8" t="s">
        <v>7</v>
      </c>
      <c r="I43" s="8" t="s">
        <v>107</v>
      </c>
      <c r="J43" s="8">
        <v>2</v>
      </c>
      <c r="K43" s="8" t="s">
        <v>7</v>
      </c>
      <c r="L43" s="9" t="s">
        <v>125</v>
      </c>
      <c r="M43" s="8" t="s">
        <v>7</v>
      </c>
      <c r="N43" s="8" t="s">
        <v>35</v>
      </c>
      <c r="O43" s="8" t="s">
        <v>139</v>
      </c>
      <c r="P43" s="8" t="s">
        <v>7</v>
      </c>
      <c r="Q43" s="8" t="s">
        <v>36</v>
      </c>
      <c r="R43" s="8" t="s">
        <v>7</v>
      </c>
      <c r="S43" s="8" t="s">
        <v>11</v>
      </c>
      <c r="T43" s="8" t="s">
        <v>7</v>
      </c>
      <c r="U43" s="8" t="s">
        <v>12</v>
      </c>
      <c r="V43" s="8" t="s">
        <v>7</v>
      </c>
      <c r="W43" s="8" t="s">
        <v>13</v>
      </c>
      <c r="X43" s="8" t="s">
        <v>7</v>
      </c>
      <c r="Y43" s="10" t="s">
        <v>134</v>
      </c>
      <c r="Z43" s="8" t="s">
        <v>7</v>
      </c>
      <c r="AA43" s="8" t="s">
        <v>49</v>
      </c>
      <c r="AB43" s="8" t="s">
        <v>7</v>
      </c>
      <c r="AC43" s="8" t="s">
        <v>15</v>
      </c>
      <c r="AD43" s="8" t="s">
        <v>7</v>
      </c>
      <c r="AE43" s="8" t="s">
        <v>252</v>
      </c>
      <c r="AF43" s="8" t="s">
        <v>352</v>
      </c>
      <c r="AG43" s="8" t="s">
        <v>353</v>
      </c>
      <c r="AH43" s="8"/>
      <c r="AI43" s="8"/>
      <c r="AJ43" s="8"/>
      <c r="AK43" s="8"/>
      <c r="AL43" s="8"/>
      <c r="AM43" s="8"/>
    </row>
    <row r="44" spans="1:39" ht="49.9" customHeight="1" x14ac:dyDescent="0.3">
      <c r="A44" s="5" t="s">
        <v>111</v>
      </c>
      <c r="B44" s="59" t="s">
        <v>338</v>
      </c>
      <c r="D44" s="7" t="s">
        <v>150</v>
      </c>
      <c r="F44" s="66" t="str">
        <f t="shared" si="1"/>
        <v>IK-SDL2-04-F0009-LV-D-CCT-WD-00-WH-BFU-SFxy</v>
      </c>
      <c r="G44" s="8" t="s">
        <v>8</v>
      </c>
      <c r="H44" s="8" t="s">
        <v>7</v>
      </c>
      <c r="I44" s="8" t="s">
        <v>110</v>
      </c>
      <c r="J44" s="8">
        <v>2</v>
      </c>
      <c r="K44" s="8" t="s">
        <v>7</v>
      </c>
      <c r="L44" s="9" t="s">
        <v>32</v>
      </c>
      <c r="M44" s="8" t="s">
        <v>7</v>
      </c>
      <c r="N44" s="8" t="s">
        <v>35</v>
      </c>
      <c r="O44" s="8" t="s">
        <v>137</v>
      </c>
      <c r="P44" s="8" t="s">
        <v>7</v>
      </c>
      <c r="Q44" s="8" t="s">
        <v>36</v>
      </c>
      <c r="R44" s="8" t="s">
        <v>7</v>
      </c>
      <c r="S44" s="8" t="s">
        <v>11</v>
      </c>
      <c r="T44" s="8" t="s">
        <v>7</v>
      </c>
      <c r="U44" s="8" t="s">
        <v>12</v>
      </c>
      <c r="V44" s="8" t="s">
        <v>7</v>
      </c>
      <c r="W44" s="8" t="s">
        <v>13</v>
      </c>
      <c r="X44" s="8" t="s">
        <v>7</v>
      </c>
      <c r="Y44" s="10" t="s">
        <v>134</v>
      </c>
      <c r="Z44" s="8" t="s">
        <v>7</v>
      </c>
      <c r="AA44" s="8" t="s">
        <v>49</v>
      </c>
      <c r="AB44" s="8" t="s">
        <v>7</v>
      </c>
      <c r="AC44" s="8" t="s">
        <v>15</v>
      </c>
      <c r="AD44" s="8" t="s">
        <v>7</v>
      </c>
      <c r="AE44" s="8" t="s">
        <v>252</v>
      </c>
      <c r="AF44" s="8" t="s">
        <v>352</v>
      </c>
      <c r="AG44" s="8" t="s">
        <v>353</v>
      </c>
      <c r="AH44" s="8"/>
      <c r="AI44" s="8"/>
      <c r="AJ44" s="8"/>
      <c r="AK44" s="8"/>
      <c r="AL44" s="8"/>
      <c r="AM44" s="8"/>
    </row>
    <row r="45" spans="1:39" ht="49.9" customHeight="1" x14ac:dyDescent="0.3">
      <c r="A45" s="5" t="s">
        <v>111</v>
      </c>
      <c r="B45" s="59" t="s">
        <v>338</v>
      </c>
      <c r="D45" s="7" t="s">
        <v>151</v>
      </c>
      <c r="F45" s="66" t="str">
        <f t="shared" si="1"/>
        <v>IK-SDL2-06-F0012-LV-D-CCT-WD-00-WH-BFU-SFxy</v>
      </c>
      <c r="G45" s="8" t="s">
        <v>8</v>
      </c>
      <c r="H45" s="8" t="s">
        <v>7</v>
      </c>
      <c r="I45" s="8" t="s">
        <v>110</v>
      </c>
      <c r="J45" s="8">
        <v>2</v>
      </c>
      <c r="K45" s="8" t="s">
        <v>7</v>
      </c>
      <c r="L45" s="9" t="s">
        <v>123</v>
      </c>
      <c r="M45" s="8" t="s">
        <v>7</v>
      </c>
      <c r="N45" s="8" t="s">
        <v>35</v>
      </c>
      <c r="O45" s="8" t="s">
        <v>58</v>
      </c>
      <c r="P45" s="8" t="s">
        <v>7</v>
      </c>
      <c r="Q45" s="8" t="s">
        <v>36</v>
      </c>
      <c r="R45" s="8" t="s">
        <v>7</v>
      </c>
      <c r="S45" s="8" t="s">
        <v>11</v>
      </c>
      <c r="T45" s="8" t="s">
        <v>7</v>
      </c>
      <c r="U45" s="8" t="s">
        <v>12</v>
      </c>
      <c r="V45" s="8" t="s">
        <v>7</v>
      </c>
      <c r="W45" s="8" t="s">
        <v>13</v>
      </c>
      <c r="X45" s="8" t="s">
        <v>7</v>
      </c>
      <c r="Y45" s="10" t="s">
        <v>134</v>
      </c>
      <c r="Z45" s="8" t="s">
        <v>7</v>
      </c>
      <c r="AA45" s="8" t="s">
        <v>49</v>
      </c>
      <c r="AB45" s="8" t="s">
        <v>7</v>
      </c>
      <c r="AC45" s="8" t="s">
        <v>15</v>
      </c>
      <c r="AD45" s="8" t="s">
        <v>7</v>
      </c>
      <c r="AE45" s="8" t="s">
        <v>252</v>
      </c>
      <c r="AF45" s="8" t="s">
        <v>352</v>
      </c>
      <c r="AG45" s="8" t="s">
        <v>353</v>
      </c>
      <c r="AH45" s="8"/>
      <c r="AI45" s="8"/>
      <c r="AJ45" s="8"/>
      <c r="AK45" s="8"/>
      <c r="AL45" s="8"/>
      <c r="AM45" s="8"/>
    </row>
    <row r="46" spans="1:39" ht="49.9" customHeight="1" x14ac:dyDescent="0.3">
      <c r="A46" s="5" t="s">
        <v>109</v>
      </c>
      <c r="B46" s="59" t="s">
        <v>339</v>
      </c>
      <c r="D46" s="7" t="s">
        <v>152</v>
      </c>
      <c r="F46" s="66" t="str">
        <f t="shared" si="1"/>
        <v>IK-RDL3-06-S0019-MV-D-CCT-ND-00-WH-BFU-SFxy</v>
      </c>
      <c r="G46" s="8" t="s">
        <v>8</v>
      </c>
      <c r="H46" s="8" t="s">
        <v>7</v>
      </c>
      <c r="I46" s="8" t="s">
        <v>107</v>
      </c>
      <c r="J46" s="8">
        <v>3</v>
      </c>
      <c r="K46" s="8" t="s">
        <v>7</v>
      </c>
      <c r="L46" s="9" t="s">
        <v>123</v>
      </c>
      <c r="M46" s="8" t="s">
        <v>7</v>
      </c>
      <c r="N46" s="8" t="s">
        <v>21</v>
      </c>
      <c r="O46" s="8" t="s">
        <v>140</v>
      </c>
      <c r="P46" s="8" t="s">
        <v>7</v>
      </c>
      <c r="Q46" s="8" t="s">
        <v>10</v>
      </c>
      <c r="R46" s="8" t="s">
        <v>7</v>
      </c>
      <c r="S46" s="8" t="s">
        <v>11</v>
      </c>
      <c r="T46" s="8" t="s">
        <v>7</v>
      </c>
      <c r="U46" s="8" t="s">
        <v>12</v>
      </c>
      <c r="V46" s="8" t="s">
        <v>7</v>
      </c>
      <c r="W46" s="8" t="s">
        <v>47</v>
      </c>
      <c r="X46" s="8" t="s">
        <v>7</v>
      </c>
      <c r="Y46" s="10" t="s">
        <v>134</v>
      </c>
      <c r="Z46" s="8" t="s">
        <v>7</v>
      </c>
      <c r="AA46" s="8" t="s">
        <v>49</v>
      </c>
      <c r="AB46" s="8" t="s">
        <v>7</v>
      </c>
      <c r="AC46" s="8" t="s">
        <v>15</v>
      </c>
      <c r="AD46" s="8" t="s">
        <v>7</v>
      </c>
      <c r="AE46" s="8" t="s">
        <v>252</v>
      </c>
      <c r="AF46" s="8" t="s">
        <v>352</v>
      </c>
      <c r="AG46" s="8" t="s">
        <v>353</v>
      </c>
      <c r="AH46" s="8"/>
      <c r="AI46" s="8"/>
      <c r="AJ46" s="8"/>
      <c r="AK46" s="8"/>
      <c r="AL46" s="8"/>
      <c r="AM46" s="8"/>
    </row>
    <row r="47" spans="1:39" ht="49.9" customHeight="1" x14ac:dyDescent="0.3">
      <c r="A47" s="5" t="s">
        <v>109</v>
      </c>
      <c r="B47" s="59" t="s">
        <v>339</v>
      </c>
      <c r="C47" s="6">
        <v>662187501888</v>
      </c>
      <c r="D47" s="7" t="s">
        <v>153</v>
      </c>
      <c r="F47" s="66" t="str">
        <f t="shared" si="1"/>
        <v>IK-RDL4-06-S0022-MV-D-CCT-WD-00-WH-BFU</v>
      </c>
      <c r="G47" s="8" t="s">
        <v>8</v>
      </c>
      <c r="H47" s="8" t="s">
        <v>7</v>
      </c>
      <c r="I47" s="8" t="s">
        <v>107</v>
      </c>
      <c r="J47" s="8">
        <v>4</v>
      </c>
      <c r="K47" s="8" t="s">
        <v>7</v>
      </c>
      <c r="L47" s="9" t="s">
        <v>123</v>
      </c>
      <c r="M47" s="8" t="s">
        <v>7</v>
      </c>
      <c r="N47" s="8" t="s">
        <v>21</v>
      </c>
      <c r="O47" s="8" t="s">
        <v>62</v>
      </c>
      <c r="P47" s="8" t="s">
        <v>7</v>
      </c>
      <c r="Q47" s="8" t="s">
        <v>10</v>
      </c>
      <c r="R47" s="8" t="s">
        <v>7</v>
      </c>
      <c r="S47" s="8" t="s">
        <v>11</v>
      </c>
      <c r="T47" s="8" t="s">
        <v>7</v>
      </c>
      <c r="U47" s="8" t="s">
        <v>12</v>
      </c>
      <c r="V47" s="8" t="s">
        <v>7</v>
      </c>
      <c r="W47" s="8" t="s">
        <v>13</v>
      </c>
      <c r="X47" s="8" t="s">
        <v>7</v>
      </c>
      <c r="Y47" s="10" t="s">
        <v>134</v>
      </c>
      <c r="Z47" s="8" t="s">
        <v>7</v>
      </c>
      <c r="AA47" s="8" t="s">
        <v>49</v>
      </c>
      <c r="AB47" s="8" t="s">
        <v>7</v>
      </c>
      <c r="AC47" s="8" t="s">
        <v>15</v>
      </c>
      <c r="AE47" s="8"/>
      <c r="AF47" s="8"/>
      <c r="AG47" s="8"/>
      <c r="AH47" s="8"/>
      <c r="AI47" s="8"/>
      <c r="AJ47" s="8"/>
      <c r="AK47" s="8"/>
      <c r="AL47" s="8"/>
      <c r="AM47" s="8"/>
    </row>
    <row r="48" spans="1:39" ht="49.9" customHeight="1" x14ac:dyDescent="0.3">
      <c r="A48" s="5" t="s">
        <v>109</v>
      </c>
      <c r="B48" s="59" t="s">
        <v>339</v>
      </c>
      <c r="D48" s="7" t="s">
        <v>434</v>
      </c>
      <c r="F48" s="66" t="str">
        <f t="shared" si="1"/>
        <v>IK-RDL4-06-S0022-MV-D-CCT-WD-00-WH-BFU-EM18</v>
      </c>
      <c r="G48" s="8" t="s">
        <v>8</v>
      </c>
      <c r="H48" s="8" t="s">
        <v>7</v>
      </c>
      <c r="I48" s="8" t="s">
        <v>107</v>
      </c>
      <c r="J48" s="8">
        <v>4</v>
      </c>
      <c r="K48" s="8" t="s">
        <v>7</v>
      </c>
      <c r="L48" s="9" t="s">
        <v>123</v>
      </c>
      <c r="M48" s="8" t="s">
        <v>7</v>
      </c>
      <c r="N48" s="8" t="s">
        <v>21</v>
      </c>
      <c r="O48" s="8" t="s">
        <v>62</v>
      </c>
      <c r="P48" s="8" t="s">
        <v>7</v>
      </c>
      <c r="Q48" s="8" t="s">
        <v>10</v>
      </c>
      <c r="R48" s="8" t="s">
        <v>7</v>
      </c>
      <c r="S48" s="8" t="s">
        <v>11</v>
      </c>
      <c r="T48" s="8" t="s">
        <v>7</v>
      </c>
      <c r="U48" s="8" t="s">
        <v>12</v>
      </c>
      <c r="V48" s="8" t="s">
        <v>7</v>
      </c>
      <c r="W48" s="8" t="s">
        <v>13</v>
      </c>
      <c r="X48" s="8" t="s">
        <v>7</v>
      </c>
      <c r="Y48" s="10" t="s">
        <v>134</v>
      </c>
      <c r="Z48" s="8" t="s">
        <v>7</v>
      </c>
      <c r="AA48" s="8" t="s">
        <v>49</v>
      </c>
      <c r="AB48" s="8" t="s">
        <v>7</v>
      </c>
      <c r="AC48" s="8" t="s">
        <v>15</v>
      </c>
      <c r="AD48" s="8" t="s">
        <v>7</v>
      </c>
      <c r="AE48" s="8"/>
      <c r="AF48" s="8" t="s">
        <v>408</v>
      </c>
      <c r="AG48" s="8"/>
      <c r="AH48" s="8"/>
      <c r="AI48" s="8"/>
      <c r="AJ48" s="8"/>
      <c r="AK48" s="8"/>
      <c r="AL48" s="8"/>
      <c r="AM48" s="8"/>
    </row>
    <row r="49" spans="1:39" ht="49.9" customHeight="1" x14ac:dyDescent="0.3">
      <c r="A49" s="5" t="s">
        <v>109</v>
      </c>
      <c r="B49" s="59" t="s">
        <v>339</v>
      </c>
      <c r="D49" s="7" t="s">
        <v>154</v>
      </c>
      <c r="F49" s="66" t="str">
        <f t="shared" si="1"/>
        <v>IK-RDL3-08-S0024-MV-D-CCT-ND-00-WH-BFU-SFxy</v>
      </c>
      <c r="G49" s="8" t="s">
        <v>8</v>
      </c>
      <c r="H49" s="8" t="s">
        <v>7</v>
      </c>
      <c r="I49" s="8" t="s">
        <v>107</v>
      </c>
      <c r="J49" s="8">
        <v>3</v>
      </c>
      <c r="K49" s="8" t="s">
        <v>7</v>
      </c>
      <c r="L49" s="9" t="s">
        <v>124</v>
      </c>
      <c r="M49" s="8" t="s">
        <v>7</v>
      </c>
      <c r="N49" s="8" t="s">
        <v>21</v>
      </c>
      <c r="O49" s="8" t="s">
        <v>139</v>
      </c>
      <c r="P49" s="8" t="s">
        <v>7</v>
      </c>
      <c r="Q49" s="8" t="s">
        <v>10</v>
      </c>
      <c r="R49" s="8" t="s">
        <v>7</v>
      </c>
      <c r="S49" s="8" t="s">
        <v>11</v>
      </c>
      <c r="T49" s="8" t="s">
        <v>7</v>
      </c>
      <c r="U49" s="8" t="s">
        <v>12</v>
      </c>
      <c r="V49" s="8" t="s">
        <v>7</v>
      </c>
      <c r="W49" s="8" t="s">
        <v>47</v>
      </c>
      <c r="X49" s="8" t="s">
        <v>7</v>
      </c>
      <c r="Y49" s="10" t="s">
        <v>134</v>
      </c>
      <c r="Z49" s="8" t="s">
        <v>7</v>
      </c>
      <c r="AA49" s="8" t="s">
        <v>49</v>
      </c>
      <c r="AB49" s="8" t="s">
        <v>7</v>
      </c>
      <c r="AC49" s="8" t="s">
        <v>15</v>
      </c>
      <c r="AD49" s="8" t="s">
        <v>7</v>
      </c>
      <c r="AE49" s="8" t="s">
        <v>252</v>
      </c>
      <c r="AF49" s="8" t="s">
        <v>352</v>
      </c>
      <c r="AG49" s="8" t="s">
        <v>353</v>
      </c>
      <c r="AH49" s="8"/>
      <c r="AI49" s="8"/>
      <c r="AJ49" s="8"/>
      <c r="AK49" s="8"/>
      <c r="AL49" s="8"/>
      <c r="AM49" s="8"/>
    </row>
    <row r="50" spans="1:39" ht="49.9" customHeight="1" x14ac:dyDescent="0.3">
      <c r="A50" s="5" t="s">
        <v>109</v>
      </c>
      <c r="B50" s="59" t="s">
        <v>339</v>
      </c>
      <c r="C50" s="6">
        <v>662187501895</v>
      </c>
      <c r="D50" s="7" t="s">
        <v>155</v>
      </c>
      <c r="F50" s="66" t="str">
        <f t="shared" si="1"/>
        <v>IK-RDL4-08-S0030-MV-D-CCT-WD-00-WH-BFU-SFxy</v>
      </c>
      <c r="G50" s="8" t="s">
        <v>8</v>
      </c>
      <c r="H50" s="8" t="s">
        <v>7</v>
      </c>
      <c r="I50" s="8" t="s">
        <v>107</v>
      </c>
      <c r="J50" s="8">
        <v>4</v>
      </c>
      <c r="K50" s="8" t="s">
        <v>7</v>
      </c>
      <c r="L50" s="9" t="s">
        <v>124</v>
      </c>
      <c r="M50" s="8" t="s">
        <v>7</v>
      </c>
      <c r="N50" s="8" t="s">
        <v>21</v>
      </c>
      <c r="O50" s="8" t="s">
        <v>65</v>
      </c>
      <c r="P50" s="8" t="s">
        <v>7</v>
      </c>
      <c r="Q50" s="8" t="s">
        <v>10</v>
      </c>
      <c r="R50" s="8" t="s">
        <v>7</v>
      </c>
      <c r="S50" s="8" t="s">
        <v>11</v>
      </c>
      <c r="T50" s="8" t="s">
        <v>7</v>
      </c>
      <c r="U50" s="8" t="s">
        <v>12</v>
      </c>
      <c r="V50" s="8" t="s">
        <v>7</v>
      </c>
      <c r="W50" s="8" t="s">
        <v>13</v>
      </c>
      <c r="X50" s="8" t="s">
        <v>7</v>
      </c>
      <c r="Y50" s="10" t="s">
        <v>134</v>
      </c>
      <c r="Z50" s="8" t="s">
        <v>7</v>
      </c>
      <c r="AA50" s="8" t="s">
        <v>49</v>
      </c>
      <c r="AB50" s="8" t="s">
        <v>7</v>
      </c>
      <c r="AC50" s="8" t="s">
        <v>15</v>
      </c>
      <c r="AD50" s="8" t="s">
        <v>7</v>
      </c>
      <c r="AE50" s="8" t="s">
        <v>252</v>
      </c>
      <c r="AF50" s="8" t="s">
        <v>352</v>
      </c>
      <c r="AG50" s="8" t="s">
        <v>353</v>
      </c>
      <c r="AH50" s="8"/>
      <c r="AI50" s="8"/>
      <c r="AJ50" s="8"/>
      <c r="AK50" s="8"/>
      <c r="AL50" s="8"/>
      <c r="AM50" s="8"/>
    </row>
    <row r="51" spans="1:39" ht="49.9" customHeight="1" x14ac:dyDescent="0.3">
      <c r="A51" s="5" t="s">
        <v>109</v>
      </c>
      <c r="B51" s="59" t="s">
        <v>339</v>
      </c>
      <c r="D51" s="7" t="s">
        <v>156</v>
      </c>
      <c r="F51" s="66" t="str">
        <f t="shared" si="1"/>
        <v>IK-RDL4-08-S0052-MV-D-CCT-WD-00-WH-BFU-SFxy</v>
      </c>
      <c r="G51" s="8" t="s">
        <v>8</v>
      </c>
      <c r="H51" s="8" t="s">
        <v>7</v>
      </c>
      <c r="I51" s="8" t="s">
        <v>107</v>
      </c>
      <c r="J51" s="8">
        <v>4</v>
      </c>
      <c r="K51" s="8" t="s">
        <v>7</v>
      </c>
      <c r="L51" s="9" t="s">
        <v>124</v>
      </c>
      <c r="M51" s="8" t="s">
        <v>7</v>
      </c>
      <c r="N51" s="8" t="s">
        <v>21</v>
      </c>
      <c r="O51" s="8" t="s">
        <v>141</v>
      </c>
      <c r="P51" s="8" t="s">
        <v>7</v>
      </c>
      <c r="Q51" s="8" t="s">
        <v>10</v>
      </c>
      <c r="R51" s="8" t="s">
        <v>7</v>
      </c>
      <c r="S51" s="8" t="s">
        <v>11</v>
      </c>
      <c r="T51" s="8" t="s">
        <v>7</v>
      </c>
      <c r="U51" s="8" t="s">
        <v>12</v>
      </c>
      <c r="V51" s="8" t="s">
        <v>7</v>
      </c>
      <c r="W51" s="8" t="s">
        <v>13</v>
      </c>
      <c r="X51" s="8" t="s">
        <v>7</v>
      </c>
      <c r="Y51" s="10" t="s">
        <v>134</v>
      </c>
      <c r="Z51" s="8" t="s">
        <v>7</v>
      </c>
      <c r="AA51" s="8" t="s">
        <v>49</v>
      </c>
      <c r="AB51" s="8" t="s">
        <v>7</v>
      </c>
      <c r="AC51" s="8" t="s">
        <v>15</v>
      </c>
      <c r="AD51" s="8" t="s">
        <v>7</v>
      </c>
      <c r="AE51" s="8" t="s">
        <v>252</v>
      </c>
      <c r="AF51" s="8" t="s">
        <v>352</v>
      </c>
      <c r="AG51" s="8" t="s">
        <v>353</v>
      </c>
      <c r="AH51" s="8"/>
      <c r="AI51" s="8"/>
      <c r="AJ51" s="8"/>
      <c r="AK51" s="8"/>
      <c r="AL51" s="8"/>
      <c r="AM51" s="8"/>
    </row>
    <row r="52" spans="1:39" ht="49.9" customHeight="1" x14ac:dyDescent="0.3">
      <c r="A52" s="5" t="s">
        <v>109</v>
      </c>
      <c r="B52" s="59" t="s">
        <v>339</v>
      </c>
      <c r="D52" s="7" t="s">
        <v>157</v>
      </c>
      <c r="F52" s="66" t="str">
        <f t="shared" si="1"/>
        <v>IK-RDL3-10-S0033-MV-D-CCT-ND-00-WH-BFU-SFxy</v>
      </c>
      <c r="G52" s="8" t="s">
        <v>8</v>
      </c>
      <c r="H52" s="8" t="s">
        <v>7</v>
      </c>
      <c r="I52" s="8" t="s">
        <v>107</v>
      </c>
      <c r="J52" s="8">
        <v>3</v>
      </c>
      <c r="K52" s="8" t="s">
        <v>7</v>
      </c>
      <c r="L52" s="9" t="s">
        <v>131</v>
      </c>
      <c r="M52" s="8" t="s">
        <v>7</v>
      </c>
      <c r="N52" s="8" t="s">
        <v>21</v>
      </c>
      <c r="O52" s="8" t="s">
        <v>142</v>
      </c>
      <c r="P52" s="8" t="s">
        <v>7</v>
      </c>
      <c r="Q52" s="8" t="s">
        <v>10</v>
      </c>
      <c r="R52" s="8" t="s">
        <v>7</v>
      </c>
      <c r="S52" s="8" t="s">
        <v>11</v>
      </c>
      <c r="T52" s="8" t="s">
        <v>7</v>
      </c>
      <c r="U52" s="8" t="s">
        <v>12</v>
      </c>
      <c r="V52" s="8" t="s">
        <v>7</v>
      </c>
      <c r="W52" s="8" t="s">
        <v>47</v>
      </c>
      <c r="X52" s="8" t="s">
        <v>7</v>
      </c>
      <c r="Y52" s="10" t="s">
        <v>134</v>
      </c>
      <c r="Z52" s="8" t="s">
        <v>7</v>
      </c>
      <c r="AA52" s="8" t="s">
        <v>49</v>
      </c>
      <c r="AB52" s="8" t="s">
        <v>7</v>
      </c>
      <c r="AC52" s="8" t="s">
        <v>15</v>
      </c>
      <c r="AD52" s="8" t="s">
        <v>7</v>
      </c>
      <c r="AE52" s="8" t="s">
        <v>252</v>
      </c>
      <c r="AF52" s="8" t="s">
        <v>352</v>
      </c>
      <c r="AG52" s="8" t="s">
        <v>353</v>
      </c>
      <c r="AH52" s="8"/>
      <c r="AI52" s="8"/>
      <c r="AJ52" s="8"/>
      <c r="AK52" s="8"/>
      <c r="AL52" s="8"/>
      <c r="AM52" s="8"/>
    </row>
    <row r="53" spans="1:39" ht="49.9" customHeight="1" x14ac:dyDescent="0.3">
      <c r="A53" s="5" t="s">
        <v>109</v>
      </c>
      <c r="B53" s="59" t="s">
        <v>339</v>
      </c>
      <c r="C53" s="6">
        <v>662187501758</v>
      </c>
      <c r="D53" s="7" t="s">
        <v>158</v>
      </c>
      <c r="F53" s="66" t="str">
        <f t="shared" si="1"/>
        <v>IK-RDL4-10-S0038-MV-D-CCT-WD-00-WH-BFU-SFxy</v>
      </c>
      <c r="G53" s="8" t="s">
        <v>8</v>
      </c>
      <c r="H53" s="8" t="s">
        <v>7</v>
      </c>
      <c r="I53" s="8" t="s">
        <v>107</v>
      </c>
      <c r="J53" s="8">
        <v>4</v>
      </c>
      <c r="K53" s="8" t="s">
        <v>7</v>
      </c>
      <c r="L53" s="9" t="s">
        <v>131</v>
      </c>
      <c r="M53" s="8" t="s">
        <v>7</v>
      </c>
      <c r="N53" s="8" t="s">
        <v>21</v>
      </c>
      <c r="O53" s="8" t="s">
        <v>143</v>
      </c>
      <c r="P53" s="8" t="s">
        <v>7</v>
      </c>
      <c r="Q53" s="8" t="s">
        <v>10</v>
      </c>
      <c r="R53" s="8" t="s">
        <v>7</v>
      </c>
      <c r="S53" s="8" t="s">
        <v>11</v>
      </c>
      <c r="T53" s="8" t="s">
        <v>7</v>
      </c>
      <c r="U53" s="8" t="s">
        <v>12</v>
      </c>
      <c r="V53" s="8" t="s">
        <v>7</v>
      </c>
      <c r="W53" s="8" t="s">
        <v>13</v>
      </c>
      <c r="X53" s="8" t="s">
        <v>7</v>
      </c>
      <c r="Y53" s="10" t="s">
        <v>134</v>
      </c>
      <c r="Z53" s="8" t="s">
        <v>7</v>
      </c>
      <c r="AA53" s="8" t="s">
        <v>49</v>
      </c>
      <c r="AB53" s="8" t="s">
        <v>7</v>
      </c>
      <c r="AC53" s="8" t="s">
        <v>15</v>
      </c>
      <c r="AD53" s="8" t="s">
        <v>7</v>
      </c>
      <c r="AE53" s="8" t="s">
        <v>252</v>
      </c>
      <c r="AF53" s="8" t="s">
        <v>352</v>
      </c>
      <c r="AG53" s="8" t="s">
        <v>353</v>
      </c>
      <c r="AH53" s="8"/>
      <c r="AI53" s="8"/>
      <c r="AJ53" s="8"/>
      <c r="AK53" s="8"/>
      <c r="AL53" s="8"/>
      <c r="AM53" s="8"/>
    </row>
    <row r="54" spans="1:39" ht="49.9" customHeight="1" x14ac:dyDescent="0.3">
      <c r="A54" s="5" t="s">
        <v>109</v>
      </c>
      <c r="B54" s="59" t="s">
        <v>340</v>
      </c>
      <c r="D54" s="7" t="s">
        <v>159</v>
      </c>
      <c r="F54" s="66" t="str">
        <f t="shared" si="1"/>
        <v>IK-RDL3-04-S0012-MV-D-CCT-ND-00-WH-BFU-SFxy</v>
      </c>
      <c r="G54" s="8" t="s">
        <v>8</v>
      </c>
      <c r="H54" s="8" t="s">
        <v>7</v>
      </c>
      <c r="I54" s="8" t="s">
        <v>107</v>
      </c>
      <c r="J54" s="8">
        <v>3</v>
      </c>
      <c r="K54" s="8" t="s">
        <v>7</v>
      </c>
      <c r="L54" s="9" t="s">
        <v>32</v>
      </c>
      <c r="M54" s="8" t="s">
        <v>7</v>
      </c>
      <c r="N54" s="8" t="s">
        <v>21</v>
      </c>
      <c r="O54" s="8" t="s">
        <v>58</v>
      </c>
      <c r="P54" s="8" t="s">
        <v>7</v>
      </c>
      <c r="Q54" s="8" t="s">
        <v>10</v>
      </c>
      <c r="R54" s="8" t="s">
        <v>7</v>
      </c>
      <c r="S54" s="8" t="s">
        <v>11</v>
      </c>
      <c r="T54" s="8" t="s">
        <v>7</v>
      </c>
      <c r="U54" s="8" t="s">
        <v>12</v>
      </c>
      <c r="V54" s="8" t="s">
        <v>7</v>
      </c>
      <c r="W54" s="8" t="s">
        <v>47</v>
      </c>
      <c r="X54" s="8" t="s">
        <v>7</v>
      </c>
      <c r="Y54" s="10" t="s">
        <v>134</v>
      </c>
      <c r="Z54" s="8" t="s">
        <v>7</v>
      </c>
      <c r="AA54" s="8" t="s">
        <v>49</v>
      </c>
      <c r="AB54" s="8" t="s">
        <v>7</v>
      </c>
      <c r="AC54" s="8" t="s">
        <v>15</v>
      </c>
      <c r="AD54" s="8" t="s">
        <v>7</v>
      </c>
      <c r="AE54" s="8" t="s">
        <v>252</v>
      </c>
      <c r="AF54" s="8" t="s">
        <v>352</v>
      </c>
      <c r="AG54" s="8" t="s">
        <v>353</v>
      </c>
      <c r="AH54" s="8"/>
      <c r="AI54" s="8"/>
      <c r="AJ54" s="8"/>
      <c r="AK54" s="8"/>
      <c r="AL54" s="8"/>
      <c r="AM54" s="8"/>
    </row>
    <row r="55" spans="1:39" ht="49.9" customHeight="1" x14ac:dyDescent="0.3">
      <c r="A55" s="5" t="s">
        <v>109</v>
      </c>
      <c r="B55" s="59" t="s">
        <v>340</v>
      </c>
      <c r="D55" s="7" t="s">
        <v>160</v>
      </c>
      <c r="F55" s="66" t="str">
        <f t="shared" si="1"/>
        <v>IK-RDL4-04-S0012-MV-D-CCT-WD-00-WH-BFU-SFxy</v>
      </c>
      <c r="G55" s="8" t="s">
        <v>8</v>
      </c>
      <c r="H55" s="8" t="s">
        <v>7</v>
      </c>
      <c r="I55" s="8" t="s">
        <v>107</v>
      </c>
      <c r="J55" s="8">
        <v>4</v>
      </c>
      <c r="K55" s="8" t="s">
        <v>7</v>
      </c>
      <c r="L55" s="9" t="s">
        <v>32</v>
      </c>
      <c r="M55" s="8" t="s">
        <v>7</v>
      </c>
      <c r="N55" s="8" t="s">
        <v>21</v>
      </c>
      <c r="O55" s="8" t="s">
        <v>58</v>
      </c>
      <c r="P55" s="8" t="s">
        <v>7</v>
      </c>
      <c r="Q55" s="8" t="s">
        <v>10</v>
      </c>
      <c r="R55" s="8" t="s">
        <v>7</v>
      </c>
      <c r="S55" s="8" t="s">
        <v>11</v>
      </c>
      <c r="T55" s="8" t="s">
        <v>7</v>
      </c>
      <c r="U55" s="8" t="s">
        <v>12</v>
      </c>
      <c r="V55" s="8" t="s">
        <v>7</v>
      </c>
      <c r="W55" s="8" t="s">
        <v>13</v>
      </c>
      <c r="X55" s="8" t="s">
        <v>7</v>
      </c>
      <c r="Y55" s="10" t="s">
        <v>134</v>
      </c>
      <c r="Z55" s="8" t="s">
        <v>7</v>
      </c>
      <c r="AA55" s="8" t="s">
        <v>49</v>
      </c>
      <c r="AB55" s="8" t="s">
        <v>7</v>
      </c>
      <c r="AC55" s="8" t="s">
        <v>15</v>
      </c>
      <c r="AD55" s="8" t="s">
        <v>7</v>
      </c>
      <c r="AE55" s="8" t="s">
        <v>252</v>
      </c>
      <c r="AF55" s="8" t="s">
        <v>352</v>
      </c>
      <c r="AG55" s="8" t="s">
        <v>353</v>
      </c>
      <c r="AH55" s="8"/>
      <c r="AI55" s="8"/>
      <c r="AJ55" s="8"/>
      <c r="AK55" s="8"/>
      <c r="AL55" s="8"/>
      <c r="AM55" s="8"/>
    </row>
    <row r="56" spans="1:39" ht="49.9" customHeight="1" x14ac:dyDescent="0.3">
      <c r="A56" s="5" t="s">
        <v>109</v>
      </c>
      <c r="B56" s="59" t="s">
        <v>341</v>
      </c>
      <c r="D56" s="7" t="s">
        <v>162</v>
      </c>
      <c r="F56" s="66" t="str">
        <f t="shared" si="1"/>
        <v>IK-RDL5-03-F0006-LV-D-CCT-ND-00-WH-BFU-SCxy</v>
      </c>
      <c r="G56" s="8" t="s">
        <v>8</v>
      </c>
      <c r="H56" s="8" t="s">
        <v>7</v>
      </c>
      <c r="I56" s="8" t="s">
        <v>107</v>
      </c>
      <c r="J56" s="8">
        <v>5</v>
      </c>
      <c r="K56" s="8" t="s">
        <v>7</v>
      </c>
      <c r="L56" s="9" t="s">
        <v>34</v>
      </c>
      <c r="M56" s="8" t="s">
        <v>7</v>
      </c>
      <c r="N56" s="8" t="s">
        <v>35</v>
      </c>
      <c r="O56" s="8" t="s">
        <v>136</v>
      </c>
      <c r="P56" s="8" t="s">
        <v>7</v>
      </c>
      <c r="Q56" s="8" t="s">
        <v>36</v>
      </c>
      <c r="R56" s="8" t="s">
        <v>7</v>
      </c>
      <c r="S56" s="8" t="s">
        <v>11</v>
      </c>
      <c r="T56" s="8" t="s">
        <v>7</v>
      </c>
      <c r="U56" s="8" t="s">
        <v>12</v>
      </c>
      <c r="V56" s="8" t="s">
        <v>7</v>
      </c>
      <c r="W56" s="8" t="s">
        <v>47</v>
      </c>
      <c r="X56" s="8" t="s">
        <v>7</v>
      </c>
      <c r="Y56" s="10" t="s">
        <v>134</v>
      </c>
      <c r="Z56" s="8" t="s">
        <v>7</v>
      </c>
      <c r="AA56" s="8" t="s">
        <v>49</v>
      </c>
      <c r="AB56" s="8" t="s">
        <v>7</v>
      </c>
      <c r="AC56" s="8" t="s">
        <v>15</v>
      </c>
      <c r="AD56" s="8" t="s">
        <v>7</v>
      </c>
      <c r="AE56" s="8" t="s">
        <v>251</v>
      </c>
      <c r="AF56" s="8" t="s">
        <v>352</v>
      </c>
      <c r="AG56" s="8" t="s">
        <v>353</v>
      </c>
      <c r="AH56" s="8"/>
      <c r="AI56" s="8"/>
      <c r="AJ56" s="8"/>
      <c r="AK56" s="8"/>
      <c r="AL56" s="8"/>
      <c r="AM56" s="8"/>
    </row>
    <row r="57" spans="1:39" ht="49.9" customHeight="1" x14ac:dyDescent="0.3">
      <c r="A57" s="5" t="s">
        <v>109</v>
      </c>
      <c r="B57" s="59" t="s">
        <v>341</v>
      </c>
      <c r="D57" s="7" t="s">
        <v>163</v>
      </c>
      <c r="F57" s="66" t="str">
        <f t="shared" si="1"/>
        <v>IK-RDL5-04-F0009-LV-D-CCT-ND-00-WH-BFU-SCxy</v>
      </c>
      <c r="G57" s="8" t="s">
        <v>8</v>
      </c>
      <c r="H57" s="8" t="s">
        <v>7</v>
      </c>
      <c r="I57" s="8" t="s">
        <v>107</v>
      </c>
      <c r="J57" s="8">
        <v>5</v>
      </c>
      <c r="K57" s="8" t="s">
        <v>7</v>
      </c>
      <c r="L57" s="9" t="s">
        <v>32</v>
      </c>
      <c r="M57" s="8" t="s">
        <v>7</v>
      </c>
      <c r="N57" s="8" t="s">
        <v>35</v>
      </c>
      <c r="O57" s="8" t="s">
        <v>137</v>
      </c>
      <c r="P57" s="8" t="s">
        <v>7</v>
      </c>
      <c r="Q57" s="8" t="s">
        <v>36</v>
      </c>
      <c r="R57" s="8" t="s">
        <v>7</v>
      </c>
      <c r="S57" s="8" t="s">
        <v>11</v>
      </c>
      <c r="T57" s="8" t="s">
        <v>7</v>
      </c>
      <c r="U57" s="8" t="s">
        <v>12</v>
      </c>
      <c r="V57" s="8" t="s">
        <v>7</v>
      </c>
      <c r="W57" s="8" t="s">
        <v>47</v>
      </c>
      <c r="X57" s="8" t="s">
        <v>7</v>
      </c>
      <c r="Y57" s="10" t="s">
        <v>134</v>
      </c>
      <c r="Z57" s="8" t="s">
        <v>7</v>
      </c>
      <c r="AA57" s="8" t="s">
        <v>49</v>
      </c>
      <c r="AB57" s="8" t="s">
        <v>7</v>
      </c>
      <c r="AC57" s="8" t="s">
        <v>15</v>
      </c>
      <c r="AD57" s="8" t="s">
        <v>7</v>
      </c>
      <c r="AE57" s="8" t="s">
        <v>251</v>
      </c>
      <c r="AF57" s="8" t="s">
        <v>352</v>
      </c>
      <c r="AG57" s="8" t="s">
        <v>353</v>
      </c>
      <c r="AH57" s="8"/>
      <c r="AI57" s="8"/>
      <c r="AJ57" s="8"/>
      <c r="AK57" s="8"/>
      <c r="AL57" s="8"/>
      <c r="AM57" s="8"/>
    </row>
    <row r="58" spans="1:39" ht="49.9" customHeight="1" x14ac:dyDescent="0.3">
      <c r="A58" s="5" t="s">
        <v>109</v>
      </c>
      <c r="B58" s="59" t="s">
        <v>341</v>
      </c>
      <c r="D58" s="7" t="s">
        <v>164</v>
      </c>
      <c r="F58" s="66" t="str">
        <f t="shared" si="1"/>
        <v>IK-RDL5-06-F0012-LV-D-CCT-ND-00-WH-BFU-SCxy</v>
      </c>
      <c r="G58" s="8" t="s">
        <v>8</v>
      </c>
      <c r="H58" s="8" t="s">
        <v>7</v>
      </c>
      <c r="I58" s="8" t="s">
        <v>107</v>
      </c>
      <c r="J58" s="8">
        <v>5</v>
      </c>
      <c r="K58" s="8" t="s">
        <v>7</v>
      </c>
      <c r="L58" s="9" t="s">
        <v>123</v>
      </c>
      <c r="M58" s="8" t="s">
        <v>7</v>
      </c>
      <c r="N58" s="8" t="s">
        <v>35</v>
      </c>
      <c r="O58" s="8" t="s">
        <v>58</v>
      </c>
      <c r="P58" s="8" t="s">
        <v>7</v>
      </c>
      <c r="Q58" s="8" t="s">
        <v>36</v>
      </c>
      <c r="R58" s="8" t="s">
        <v>7</v>
      </c>
      <c r="S58" s="8" t="s">
        <v>11</v>
      </c>
      <c r="T58" s="8" t="s">
        <v>7</v>
      </c>
      <c r="U58" s="8" t="s">
        <v>12</v>
      </c>
      <c r="V58" s="8" t="s">
        <v>7</v>
      </c>
      <c r="W58" s="8" t="s">
        <v>47</v>
      </c>
      <c r="X58" s="8" t="s">
        <v>7</v>
      </c>
      <c r="Y58" s="10" t="s">
        <v>134</v>
      </c>
      <c r="Z58" s="8" t="s">
        <v>7</v>
      </c>
      <c r="AA58" s="8" t="s">
        <v>49</v>
      </c>
      <c r="AB58" s="8" t="s">
        <v>7</v>
      </c>
      <c r="AC58" s="8" t="s">
        <v>15</v>
      </c>
      <c r="AD58" s="8" t="s">
        <v>7</v>
      </c>
      <c r="AE58" s="8" t="s">
        <v>251</v>
      </c>
      <c r="AF58" s="8" t="s">
        <v>352</v>
      </c>
      <c r="AG58" s="8" t="s">
        <v>353</v>
      </c>
      <c r="AH58" s="8"/>
      <c r="AI58" s="8"/>
      <c r="AJ58" s="8"/>
      <c r="AK58" s="8"/>
      <c r="AL58" s="8"/>
      <c r="AM58" s="8"/>
    </row>
    <row r="59" spans="1:39" ht="49.9" customHeight="1" x14ac:dyDescent="0.3">
      <c r="A59" s="5" t="s">
        <v>109</v>
      </c>
      <c r="B59" s="59" t="s">
        <v>342</v>
      </c>
      <c r="D59" s="7" t="s">
        <v>161</v>
      </c>
      <c r="F59" s="66" t="str">
        <f t="shared" si="1"/>
        <v>IK-RDL6-04-F0009-LV-D-CCT-WD-00-WH-BFU-SFxy</v>
      </c>
      <c r="G59" s="8" t="s">
        <v>8</v>
      </c>
      <c r="H59" s="8" t="s">
        <v>7</v>
      </c>
      <c r="I59" s="8" t="s">
        <v>107</v>
      </c>
      <c r="J59" s="8">
        <v>6</v>
      </c>
      <c r="K59" s="8" t="s">
        <v>7</v>
      </c>
      <c r="L59" s="9" t="s">
        <v>32</v>
      </c>
      <c r="M59" s="8" t="s">
        <v>7</v>
      </c>
      <c r="N59" s="8" t="s">
        <v>35</v>
      </c>
      <c r="O59" s="8" t="s">
        <v>137</v>
      </c>
      <c r="P59" s="8" t="s">
        <v>7</v>
      </c>
      <c r="Q59" s="8" t="s">
        <v>36</v>
      </c>
      <c r="R59" s="8" t="s">
        <v>7</v>
      </c>
      <c r="S59" s="8" t="s">
        <v>11</v>
      </c>
      <c r="T59" s="8" t="s">
        <v>7</v>
      </c>
      <c r="U59" s="8" t="s">
        <v>12</v>
      </c>
      <c r="V59" s="8" t="s">
        <v>7</v>
      </c>
      <c r="W59" s="8" t="s">
        <v>13</v>
      </c>
      <c r="X59" s="8" t="s">
        <v>7</v>
      </c>
      <c r="Y59" s="10" t="s">
        <v>134</v>
      </c>
      <c r="Z59" s="8" t="s">
        <v>7</v>
      </c>
      <c r="AA59" s="8" t="s">
        <v>49</v>
      </c>
      <c r="AB59" s="8" t="s">
        <v>7</v>
      </c>
      <c r="AC59" s="8" t="s">
        <v>15</v>
      </c>
      <c r="AD59" s="8" t="s">
        <v>7</v>
      </c>
      <c r="AE59" s="8" t="s">
        <v>252</v>
      </c>
      <c r="AF59" s="8" t="s">
        <v>352</v>
      </c>
      <c r="AG59" s="8" t="s">
        <v>353</v>
      </c>
      <c r="AH59" s="8"/>
      <c r="AI59" s="8"/>
      <c r="AJ59" s="8"/>
      <c r="AK59" s="8"/>
      <c r="AL59" s="8"/>
      <c r="AM59" s="8"/>
    </row>
    <row r="60" spans="1:39" ht="49.9" customHeight="1" x14ac:dyDescent="0.3">
      <c r="A60" s="5" t="s">
        <v>109</v>
      </c>
      <c r="B60" s="59" t="s">
        <v>342</v>
      </c>
      <c r="D60" s="7" t="s">
        <v>165</v>
      </c>
      <c r="F60" s="66" t="str">
        <f t="shared" si="1"/>
        <v>IK-RDL6-04-F0012-LV-D-CCT-WD-00-WH-BFU-SFxy</v>
      </c>
      <c r="G60" s="8" t="s">
        <v>8</v>
      </c>
      <c r="H60" s="8" t="s">
        <v>7</v>
      </c>
      <c r="I60" s="8" t="s">
        <v>107</v>
      </c>
      <c r="J60" s="8">
        <v>6</v>
      </c>
      <c r="K60" s="8" t="s">
        <v>7</v>
      </c>
      <c r="L60" s="9" t="s">
        <v>32</v>
      </c>
      <c r="M60" s="8" t="s">
        <v>7</v>
      </c>
      <c r="N60" s="8" t="s">
        <v>35</v>
      </c>
      <c r="O60" s="8" t="s">
        <v>58</v>
      </c>
      <c r="P60" s="8" t="s">
        <v>7</v>
      </c>
      <c r="Q60" s="8" t="s">
        <v>36</v>
      </c>
      <c r="R60" s="8" t="s">
        <v>7</v>
      </c>
      <c r="S60" s="8" t="s">
        <v>11</v>
      </c>
      <c r="T60" s="8" t="s">
        <v>7</v>
      </c>
      <c r="U60" s="8" t="s">
        <v>12</v>
      </c>
      <c r="V60" s="8" t="s">
        <v>7</v>
      </c>
      <c r="W60" s="8" t="s">
        <v>13</v>
      </c>
      <c r="X60" s="8" t="s">
        <v>7</v>
      </c>
      <c r="Y60" s="10" t="s">
        <v>134</v>
      </c>
      <c r="Z60" s="8" t="s">
        <v>7</v>
      </c>
      <c r="AA60" s="8" t="s">
        <v>49</v>
      </c>
      <c r="AB60" s="8" t="s">
        <v>7</v>
      </c>
      <c r="AC60" s="8" t="s">
        <v>15</v>
      </c>
      <c r="AD60" s="8" t="s">
        <v>7</v>
      </c>
      <c r="AE60" s="8" t="s">
        <v>252</v>
      </c>
      <c r="AF60" s="8" t="s">
        <v>352</v>
      </c>
      <c r="AG60" s="8" t="s">
        <v>353</v>
      </c>
      <c r="AH60" s="8"/>
      <c r="AI60" s="8"/>
      <c r="AJ60" s="8"/>
      <c r="AK60" s="8"/>
      <c r="AL60" s="8"/>
      <c r="AM60" s="8"/>
    </row>
    <row r="61" spans="1:39" ht="49.9" customHeight="1" x14ac:dyDescent="0.3">
      <c r="A61" s="5" t="s">
        <v>109</v>
      </c>
      <c r="B61" s="59" t="s">
        <v>342</v>
      </c>
      <c r="D61" s="7" t="s">
        <v>166</v>
      </c>
      <c r="F61" s="66" t="str">
        <f t="shared" si="1"/>
        <v>IK-RDL6-06-F0012-LV-D-CCT-WD-00-WH-BFU-SFxy</v>
      </c>
      <c r="G61" s="8" t="s">
        <v>8</v>
      </c>
      <c r="H61" s="8" t="s">
        <v>7</v>
      </c>
      <c r="I61" s="8" t="s">
        <v>107</v>
      </c>
      <c r="J61" s="8">
        <v>6</v>
      </c>
      <c r="K61" s="8" t="s">
        <v>7</v>
      </c>
      <c r="L61" s="9" t="s">
        <v>123</v>
      </c>
      <c r="M61" s="8" t="s">
        <v>7</v>
      </c>
      <c r="N61" s="8" t="s">
        <v>35</v>
      </c>
      <c r="O61" s="8" t="s">
        <v>58</v>
      </c>
      <c r="P61" s="8" t="s">
        <v>7</v>
      </c>
      <c r="Q61" s="8" t="s">
        <v>36</v>
      </c>
      <c r="R61" s="8" t="s">
        <v>7</v>
      </c>
      <c r="S61" s="8" t="s">
        <v>11</v>
      </c>
      <c r="T61" s="8" t="s">
        <v>7</v>
      </c>
      <c r="U61" s="8" t="s">
        <v>12</v>
      </c>
      <c r="V61" s="8" t="s">
        <v>7</v>
      </c>
      <c r="W61" s="8" t="s">
        <v>13</v>
      </c>
      <c r="X61" s="8" t="s">
        <v>7</v>
      </c>
      <c r="Y61" s="10" t="s">
        <v>134</v>
      </c>
      <c r="Z61" s="8" t="s">
        <v>7</v>
      </c>
      <c r="AA61" s="8" t="s">
        <v>49</v>
      </c>
      <c r="AB61" s="8" t="s">
        <v>7</v>
      </c>
      <c r="AC61" s="8" t="s">
        <v>15</v>
      </c>
      <c r="AD61" s="8" t="s">
        <v>7</v>
      </c>
      <c r="AE61" s="8" t="s">
        <v>252</v>
      </c>
      <c r="AF61" s="8" t="s">
        <v>352</v>
      </c>
      <c r="AG61" s="8" t="s">
        <v>353</v>
      </c>
      <c r="AH61" s="8"/>
      <c r="AI61" s="8"/>
      <c r="AJ61" s="8"/>
      <c r="AK61" s="8"/>
      <c r="AL61" s="8"/>
      <c r="AM61" s="8"/>
    </row>
    <row r="62" spans="1:39" ht="49.9" customHeight="1" x14ac:dyDescent="0.3">
      <c r="A62" s="5" t="s">
        <v>109</v>
      </c>
      <c r="B62" s="59" t="s">
        <v>342</v>
      </c>
      <c r="D62" s="7" t="s">
        <v>167</v>
      </c>
      <c r="F62" s="66" t="str">
        <f t="shared" si="1"/>
        <v>IK-RDL6-06-F0015-LV-D-CCT-WD-00-WH-BFU-SFxy</v>
      </c>
      <c r="G62" s="8" t="s">
        <v>8</v>
      </c>
      <c r="H62" s="8" t="s">
        <v>7</v>
      </c>
      <c r="I62" s="8" t="s">
        <v>107</v>
      </c>
      <c r="J62" s="8">
        <v>6</v>
      </c>
      <c r="K62" s="8" t="s">
        <v>7</v>
      </c>
      <c r="L62" s="9" t="s">
        <v>123</v>
      </c>
      <c r="M62" s="8" t="s">
        <v>7</v>
      </c>
      <c r="N62" s="8" t="s">
        <v>35</v>
      </c>
      <c r="O62" s="8" t="s">
        <v>59</v>
      </c>
      <c r="P62" s="8" t="s">
        <v>7</v>
      </c>
      <c r="Q62" s="8" t="s">
        <v>36</v>
      </c>
      <c r="R62" s="8" t="s">
        <v>7</v>
      </c>
      <c r="S62" s="8" t="s">
        <v>11</v>
      </c>
      <c r="T62" s="8" t="s">
        <v>7</v>
      </c>
      <c r="U62" s="8" t="s">
        <v>12</v>
      </c>
      <c r="V62" s="8" t="s">
        <v>7</v>
      </c>
      <c r="W62" s="8" t="s">
        <v>13</v>
      </c>
      <c r="X62" s="8" t="s">
        <v>7</v>
      </c>
      <c r="Y62" s="10" t="s">
        <v>134</v>
      </c>
      <c r="Z62" s="8" t="s">
        <v>7</v>
      </c>
      <c r="AA62" s="8" t="s">
        <v>49</v>
      </c>
      <c r="AB62" s="8" t="s">
        <v>7</v>
      </c>
      <c r="AC62" s="8" t="s">
        <v>15</v>
      </c>
      <c r="AD62" s="8" t="s">
        <v>7</v>
      </c>
      <c r="AE62" s="8" t="s">
        <v>252</v>
      </c>
      <c r="AF62" s="8" t="s">
        <v>352</v>
      </c>
      <c r="AG62" s="8" t="s">
        <v>353</v>
      </c>
      <c r="AH62" s="8"/>
      <c r="AI62" s="8"/>
      <c r="AJ62" s="8"/>
      <c r="AK62" s="8"/>
      <c r="AL62" s="8"/>
      <c r="AM62" s="8"/>
    </row>
    <row r="63" spans="1:39" ht="49.9" customHeight="1" x14ac:dyDescent="0.3">
      <c r="A63" s="5" t="s">
        <v>109</v>
      </c>
      <c r="B63" s="59" t="s">
        <v>343</v>
      </c>
      <c r="D63" s="7" t="s">
        <v>169</v>
      </c>
      <c r="F63" s="66" t="str">
        <f t="shared" si="1"/>
        <v>IK-RDL7-04-F0010-LV-D-CCT-WD-00-WH-BFU-SFxy</v>
      </c>
      <c r="G63" s="8" t="s">
        <v>8</v>
      </c>
      <c r="H63" s="8" t="s">
        <v>7</v>
      </c>
      <c r="I63" s="8" t="s">
        <v>107</v>
      </c>
      <c r="J63" s="8">
        <v>7</v>
      </c>
      <c r="K63" s="8" t="s">
        <v>7</v>
      </c>
      <c r="L63" s="9" t="s">
        <v>32</v>
      </c>
      <c r="M63" s="8" t="s">
        <v>7</v>
      </c>
      <c r="N63" s="8" t="s">
        <v>35</v>
      </c>
      <c r="O63" s="8" t="s">
        <v>57</v>
      </c>
      <c r="P63" s="8" t="s">
        <v>7</v>
      </c>
      <c r="Q63" s="8" t="s">
        <v>36</v>
      </c>
      <c r="R63" s="8" t="s">
        <v>7</v>
      </c>
      <c r="S63" s="8" t="s">
        <v>11</v>
      </c>
      <c r="T63" s="8" t="s">
        <v>7</v>
      </c>
      <c r="U63" s="8" t="s">
        <v>12</v>
      </c>
      <c r="V63" s="8" t="s">
        <v>7</v>
      </c>
      <c r="W63" s="8" t="s">
        <v>13</v>
      </c>
      <c r="X63" s="8" t="s">
        <v>7</v>
      </c>
      <c r="Y63" s="10" t="s">
        <v>134</v>
      </c>
      <c r="Z63" s="8" t="s">
        <v>7</v>
      </c>
      <c r="AA63" s="8" t="s">
        <v>49</v>
      </c>
      <c r="AB63" s="8" t="s">
        <v>7</v>
      </c>
      <c r="AC63" s="8" t="s">
        <v>15</v>
      </c>
      <c r="AD63" s="8" t="s">
        <v>7</v>
      </c>
      <c r="AE63" s="8" t="s">
        <v>252</v>
      </c>
      <c r="AF63" s="8" t="s">
        <v>352</v>
      </c>
      <c r="AG63" s="8" t="s">
        <v>353</v>
      </c>
      <c r="AH63" s="8"/>
      <c r="AI63" s="8"/>
      <c r="AJ63" s="8"/>
      <c r="AK63" s="8"/>
      <c r="AL63" s="8"/>
      <c r="AM63" s="8"/>
    </row>
    <row r="64" spans="1:39" ht="49.9" customHeight="1" x14ac:dyDescent="0.3">
      <c r="A64" s="5" t="s">
        <v>109</v>
      </c>
      <c r="B64" s="59" t="s">
        <v>343</v>
      </c>
      <c r="D64" s="7" t="s">
        <v>168</v>
      </c>
      <c r="F64" s="66" t="str">
        <f t="shared" si="1"/>
        <v>IK-RDL7-06-F0014-LV-D-CCT-WD-00-WH-BFU-SFxy</v>
      </c>
      <c r="G64" s="8" t="s">
        <v>8</v>
      </c>
      <c r="H64" s="8" t="s">
        <v>7</v>
      </c>
      <c r="I64" s="8" t="s">
        <v>107</v>
      </c>
      <c r="J64" s="8">
        <v>7</v>
      </c>
      <c r="K64" s="8" t="s">
        <v>7</v>
      </c>
      <c r="L64" s="9" t="s">
        <v>123</v>
      </c>
      <c r="M64" s="8" t="s">
        <v>7</v>
      </c>
      <c r="N64" s="8" t="s">
        <v>35</v>
      </c>
      <c r="O64" s="8" t="s">
        <v>144</v>
      </c>
      <c r="P64" s="8" t="s">
        <v>7</v>
      </c>
      <c r="Q64" s="8" t="s">
        <v>36</v>
      </c>
      <c r="R64" s="8" t="s">
        <v>7</v>
      </c>
      <c r="S64" s="8" t="s">
        <v>11</v>
      </c>
      <c r="T64" s="8" t="s">
        <v>7</v>
      </c>
      <c r="U64" s="8" t="s">
        <v>12</v>
      </c>
      <c r="V64" s="8" t="s">
        <v>7</v>
      </c>
      <c r="W64" s="8" t="s">
        <v>13</v>
      </c>
      <c r="X64" s="8" t="s">
        <v>7</v>
      </c>
      <c r="Y64" s="10" t="s">
        <v>134</v>
      </c>
      <c r="Z64" s="8" t="s">
        <v>7</v>
      </c>
      <c r="AA64" s="8" t="s">
        <v>49</v>
      </c>
      <c r="AB64" s="8" t="s">
        <v>7</v>
      </c>
      <c r="AC64" s="8" t="s">
        <v>15</v>
      </c>
      <c r="AD64" s="8" t="s">
        <v>7</v>
      </c>
      <c r="AE64" s="8" t="s">
        <v>252</v>
      </c>
      <c r="AF64" s="8" t="s">
        <v>352</v>
      </c>
      <c r="AG64" s="8" t="s">
        <v>353</v>
      </c>
      <c r="AH64" s="8"/>
      <c r="AI64" s="8"/>
      <c r="AJ64" s="8"/>
      <c r="AK64" s="8"/>
      <c r="AL64" s="8"/>
      <c r="AM64" s="8"/>
    </row>
    <row r="65" spans="1:39" ht="49.9" customHeight="1" x14ac:dyDescent="0.3">
      <c r="A65" s="5" t="s">
        <v>109</v>
      </c>
      <c r="B65" s="59" t="s">
        <v>344</v>
      </c>
      <c r="D65" s="7" t="s">
        <v>170</v>
      </c>
      <c r="F65" s="66" t="str">
        <f t="shared" si="1"/>
        <v>IK-RDL8-02-F0009-LV-D-CCT-ND-00-WH-BFU-SCxy</v>
      </c>
      <c r="G65" s="8" t="s">
        <v>8</v>
      </c>
      <c r="H65" s="8" t="s">
        <v>7</v>
      </c>
      <c r="I65" s="8" t="s">
        <v>107</v>
      </c>
      <c r="J65" s="8">
        <v>8</v>
      </c>
      <c r="K65" s="8" t="s">
        <v>7</v>
      </c>
      <c r="L65" s="9" t="s">
        <v>9</v>
      </c>
      <c r="M65" s="8" t="s">
        <v>7</v>
      </c>
      <c r="N65" s="8" t="s">
        <v>35</v>
      </c>
      <c r="O65" s="8" t="s">
        <v>137</v>
      </c>
      <c r="P65" s="8" t="s">
        <v>7</v>
      </c>
      <c r="Q65" s="8" t="s">
        <v>36</v>
      </c>
      <c r="R65" s="8" t="s">
        <v>7</v>
      </c>
      <c r="S65" s="8" t="s">
        <v>11</v>
      </c>
      <c r="T65" s="8" t="s">
        <v>7</v>
      </c>
      <c r="U65" s="8" t="s">
        <v>12</v>
      </c>
      <c r="V65" s="8" t="s">
        <v>7</v>
      </c>
      <c r="W65" s="8" t="s">
        <v>47</v>
      </c>
      <c r="X65" s="8" t="s">
        <v>7</v>
      </c>
      <c r="Y65" s="10" t="s">
        <v>134</v>
      </c>
      <c r="Z65" s="8" t="s">
        <v>7</v>
      </c>
      <c r="AA65" s="8" t="s">
        <v>49</v>
      </c>
      <c r="AB65" s="8" t="s">
        <v>7</v>
      </c>
      <c r="AC65" s="8" t="s">
        <v>15</v>
      </c>
      <c r="AD65" s="8" t="s">
        <v>7</v>
      </c>
      <c r="AE65" s="8" t="s">
        <v>251</v>
      </c>
      <c r="AF65" s="8" t="s">
        <v>352</v>
      </c>
      <c r="AG65" s="8" t="s">
        <v>353</v>
      </c>
      <c r="AH65" s="8"/>
      <c r="AI65" s="8"/>
      <c r="AJ65" s="8"/>
      <c r="AK65" s="8"/>
      <c r="AL65" s="8"/>
      <c r="AM65" s="8"/>
    </row>
    <row r="66" spans="1:39" ht="49.9" customHeight="1" x14ac:dyDescent="0.3">
      <c r="A66" s="5" t="s">
        <v>109</v>
      </c>
      <c r="B66" s="59" t="s">
        <v>344</v>
      </c>
      <c r="D66" s="7" t="s">
        <v>171</v>
      </c>
      <c r="F66" s="66" t="str">
        <f t="shared" si="1"/>
        <v>IK-RDL8-03-F0012-LV-D-CCT-ND-00-WH-BFU-SCxy</v>
      </c>
      <c r="G66" s="8" t="s">
        <v>8</v>
      </c>
      <c r="H66" s="8" t="s">
        <v>7</v>
      </c>
      <c r="I66" s="8" t="s">
        <v>107</v>
      </c>
      <c r="J66" s="8">
        <v>8</v>
      </c>
      <c r="K66" s="8" t="s">
        <v>7</v>
      </c>
      <c r="L66" s="9" t="s">
        <v>34</v>
      </c>
      <c r="M66" s="8" t="s">
        <v>7</v>
      </c>
      <c r="N66" s="8" t="s">
        <v>35</v>
      </c>
      <c r="O66" s="8" t="s">
        <v>58</v>
      </c>
      <c r="P66" s="8" t="s">
        <v>7</v>
      </c>
      <c r="Q66" s="8" t="s">
        <v>36</v>
      </c>
      <c r="R66" s="8" t="s">
        <v>7</v>
      </c>
      <c r="S66" s="8" t="s">
        <v>11</v>
      </c>
      <c r="T66" s="8" t="s">
        <v>7</v>
      </c>
      <c r="U66" s="8" t="s">
        <v>12</v>
      </c>
      <c r="V66" s="8" t="s">
        <v>7</v>
      </c>
      <c r="W66" s="8" t="s">
        <v>47</v>
      </c>
      <c r="X66" s="8" t="s">
        <v>7</v>
      </c>
      <c r="Y66" s="10" t="s">
        <v>134</v>
      </c>
      <c r="Z66" s="8" t="s">
        <v>7</v>
      </c>
      <c r="AA66" s="8" t="s">
        <v>49</v>
      </c>
      <c r="AB66" s="8" t="s">
        <v>7</v>
      </c>
      <c r="AC66" s="8" t="s">
        <v>15</v>
      </c>
      <c r="AD66" s="8" t="s">
        <v>7</v>
      </c>
      <c r="AE66" s="8" t="s">
        <v>251</v>
      </c>
      <c r="AF66" s="8" t="s">
        <v>352</v>
      </c>
      <c r="AG66" s="8" t="s">
        <v>353</v>
      </c>
      <c r="AH66" s="8"/>
      <c r="AI66" s="8"/>
      <c r="AJ66" s="8"/>
      <c r="AK66" s="8"/>
      <c r="AL66" s="8"/>
      <c r="AM66" s="8"/>
    </row>
    <row r="67" spans="1:39" ht="49.9" customHeight="1" x14ac:dyDescent="0.3">
      <c r="A67" s="5" t="s">
        <v>173</v>
      </c>
      <c r="D67" s="7" t="s">
        <v>174</v>
      </c>
      <c r="F67" s="5" t="str">
        <f t="shared" si="1"/>
        <v>IK-SLR1-01-F0008-LV-D-XXK-ND-00-WH-BFU</v>
      </c>
      <c r="G67" s="8" t="s">
        <v>8</v>
      </c>
      <c r="H67" s="8" t="s">
        <v>7</v>
      </c>
      <c r="I67" s="8" t="s">
        <v>177</v>
      </c>
      <c r="J67" s="8">
        <v>1</v>
      </c>
      <c r="K67" s="8" t="s">
        <v>7</v>
      </c>
      <c r="L67" s="9" t="s">
        <v>27</v>
      </c>
      <c r="M67" s="8" t="s">
        <v>7</v>
      </c>
      <c r="N67" s="8" t="s">
        <v>35</v>
      </c>
      <c r="O67" s="8" t="s">
        <v>56</v>
      </c>
      <c r="P67" s="8" t="s">
        <v>7</v>
      </c>
      <c r="Q67" s="8" t="s">
        <v>36</v>
      </c>
      <c r="R67" s="8" t="s">
        <v>7</v>
      </c>
      <c r="S67" s="8" t="s">
        <v>11</v>
      </c>
      <c r="T67" s="8" t="s">
        <v>7</v>
      </c>
      <c r="U67" s="8" t="s">
        <v>175</v>
      </c>
      <c r="V67" s="8" t="s">
        <v>7</v>
      </c>
      <c r="W67" s="8" t="s">
        <v>47</v>
      </c>
      <c r="X67" s="8" t="s">
        <v>7</v>
      </c>
      <c r="Y67" s="10" t="s">
        <v>134</v>
      </c>
      <c r="Z67" s="8" t="s">
        <v>7</v>
      </c>
      <c r="AA67" s="8" t="s">
        <v>49</v>
      </c>
      <c r="AB67" s="8" t="s">
        <v>7</v>
      </c>
      <c r="AC67" s="8" t="s">
        <v>15</v>
      </c>
      <c r="AE67" s="8"/>
      <c r="AF67" s="8"/>
      <c r="AG67" s="8"/>
      <c r="AH67" s="8"/>
      <c r="AI67" s="8"/>
      <c r="AJ67" s="8"/>
      <c r="AK67" s="8"/>
      <c r="AL67" s="8"/>
      <c r="AM67" s="8"/>
    </row>
    <row r="68" spans="1:39" ht="49.9" customHeight="1" x14ac:dyDescent="0.3">
      <c r="A68" s="5" t="s">
        <v>173</v>
      </c>
      <c r="D68" s="7" t="s">
        <v>185</v>
      </c>
      <c r="F68" s="5" t="str">
        <f t="shared" si="1"/>
        <v>IK-SLR1-02-F0012-LV-D-XXK-ND-00-WH-BFU</v>
      </c>
      <c r="G68" s="8" t="s">
        <v>8</v>
      </c>
      <c r="H68" s="8" t="s">
        <v>7</v>
      </c>
      <c r="I68" s="8" t="s">
        <v>177</v>
      </c>
      <c r="J68" s="8">
        <v>1</v>
      </c>
      <c r="K68" s="8" t="s">
        <v>7</v>
      </c>
      <c r="L68" s="9" t="s">
        <v>9</v>
      </c>
      <c r="M68" s="8" t="s">
        <v>7</v>
      </c>
      <c r="N68" s="8" t="s">
        <v>35</v>
      </c>
      <c r="O68" s="8" t="s">
        <v>58</v>
      </c>
      <c r="P68" s="8" t="s">
        <v>7</v>
      </c>
      <c r="Q68" s="8" t="s">
        <v>36</v>
      </c>
      <c r="R68" s="8" t="s">
        <v>7</v>
      </c>
      <c r="S68" s="8" t="s">
        <v>11</v>
      </c>
      <c r="T68" s="8" t="s">
        <v>7</v>
      </c>
      <c r="U68" s="8" t="s">
        <v>175</v>
      </c>
      <c r="V68" s="8" t="s">
        <v>7</v>
      </c>
      <c r="W68" s="8" t="s">
        <v>47</v>
      </c>
      <c r="X68" s="8" t="s">
        <v>7</v>
      </c>
      <c r="Y68" s="10" t="s">
        <v>134</v>
      </c>
      <c r="Z68" s="8" t="s">
        <v>7</v>
      </c>
      <c r="AA68" s="8" t="s">
        <v>49</v>
      </c>
      <c r="AB68" s="8" t="s">
        <v>7</v>
      </c>
      <c r="AC68" s="8" t="s">
        <v>15</v>
      </c>
      <c r="AE68" s="8"/>
      <c r="AF68" s="8"/>
      <c r="AG68" s="8"/>
      <c r="AH68" s="8"/>
      <c r="AI68" s="8"/>
      <c r="AJ68" s="8"/>
      <c r="AK68" s="8"/>
      <c r="AL68" s="8"/>
      <c r="AM68" s="8"/>
    </row>
    <row r="69" spans="1:39" ht="49.9" customHeight="1" x14ac:dyDescent="0.3">
      <c r="A69" s="5" t="s">
        <v>173</v>
      </c>
      <c r="D69" s="7" t="s">
        <v>186</v>
      </c>
      <c r="F69" s="5" t="str">
        <f t="shared" si="1"/>
        <v>IK-SLR1-03-F0010-LV-D-XXK-ND-00-WH-BFU</v>
      </c>
      <c r="G69" s="8" t="s">
        <v>8</v>
      </c>
      <c r="H69" s="8" t="s">
        <v>7</v>
      </c>
      <c r="I69" s="8" t="s">
        <v>177</v>
      </c>
      <c r="J69" s="8">
        <v>1</v>
      </c>
      <c r="K69" s="8" t="s">
        <v>7</v>
      </c>
      <c r="L69" s="9" t="s">
        <v>34</v>
      </c>
      <c r="M69" s="8" t="s">
        <v>7</v>
      </c>
      <c r="N69" s="8" t="s">
        <v>35</v>
      </c>
      <c r="O69" s="8" t="s">
        <v>57</v>
      </c>
      <c r="P69" s="8" t="s">
        <v>7</v>
      </c>
      <c r="Q69" s="8" t="s">
        <v>36</v>
      </c>
      <c r="R69" s="8" t="s">
        <v>7</v>
      </c>
      <c r="S69" s="8" t="s">
        <v>11</v>
      </c>
      <c r="T69" s="8" t="s">
        <v>7</v>
      </c>
      <c r="U69" s="8" t="s">
        <v>175</v>
      </c>
      <c r="V69" s="8" t="s">
        <v>7</v>
      </c>
      <c r="W69" s="8" t="s">
        <v>47</v>
      </c>
      <c r="X69" s="8" t="s">
        <v>7</v>
      </c>
      <c r="Y69" s="10" t="s">
        <v>134</v>
      </c>
      <c r="Z69" s="8" t="s">
        <v>7</v>
      </c>
      <c r="AA69" s="8" t="s">
        <v>49</v>
      </c>
      <c r="AB69" s="8" t="s">
        <v>7</v>
      </c>
      <c r="AC69" s="8" t="s">
        <v>15</v>
      </c>
      <c r="AE69" s="8"/>
      <c r="AF69" s="8"/>
      <c r="AG69" s="8"/>
      <c r="AH69" s="8"/>
      <c r="AI69" s="8"/>
      <c r="AJ69" s="8"/>
      <c r="AK69" s="8"/>
      <c r="AL69" s="8"/>
      <c r="AM69" s="8"/>
    </row>
    <row r="70" spans="1:39" ht="49.9" customHeight="1" x14ac:dyDescent="0.3">
      <c r="A70" s="5" t="s">
        <v>173</v>
      </c>
      <c r="D70" s="7" t="s">
        <v>187</v>
      </c>
      <c r="F70" s="5" t="str">
        <f t="shared" si="1"/>
        <v>IK-SLR2-01-F0008-LV-D-XXK-ND-00-WH-BFU</v>
      </c>
      <c r="G70" s="8" t="s">
        <v>8</v>
      </c>
      <c r="H70" s="8" t="s">
        <v>7</v>
      </c>
      <c r="I70" s="8" t="s">
        <v>177</v>
      </c>
      <c r="J70" s="8">
        <v>2</v>
      </c>
      <c r="K70" s="8" t="s">
        <v>7</v>
      </c>
      <c r="L70" s="9" t="s">
        <v>27</v>
      </c>
      <c r="M70" s="8" t="s">
        <v>7</v>
      </c>
      <c r="N70" s="8" t="s">
        <v>35</v>
      </c>
      <c r="O70" s="8" t="s">
        <v>56</v>
      </c>
      <c r="P70" s="8" t="s">
        <v>7</v>
      </c>
      <c r="Q70" s="8" t="s">
        <v>36</v>
      </c>
      <c r="R70" s="8" t="s">
        <v>7</v>
      </c>
      <c r="S70" s="8" t="s">
        <v>11</v>
      </c>
      <c r="T70" s="8" t="s">
        <v>7</v>
      </c>
      <c r="U70" s="8" t="s">
        <v>175</v>
      </c>
      <c r="V70" s="8" t="s">
        <v>7</v>
      </c>
      <c r="W70" s="8" t="s">
        <v>47</v>
      </c>
      <c r="X70" s="8" t="s">
        <v>7</v>
      </c>
      <c r="Y70" s="10" t="s">
        <v>134</v>
      </c>
      <c r="Z70" s="8" t="s">
        <v>7</v>
      </c>
      <c r="AA70" s="8" t="s">
        <v>49</v>
      </c>
      <c r="AB70" s="8" t="s">
        <v>7</v>
      </c>
      <c r="AC70" s="8" t="s">
        <v>15</v>
      </c>
      <c r="AE70" s="8"/>
      <c r="AF70" s="8"/>
      <c r="AG70" s="8"/>
      <c r="AH70" s="8"/>
      <c r="AI70" s="8"/>
      <c r="AJ70" s="8"/>
      <c r="AK70" s="8"/>
      <c r="AL70" s="8"/>
      <c r="AM70" s="8"/>
    </row>
    <row r="71" spans="1:39" ht="49.9" customHeight="1" x14ac:dyDescent="0.3">
      <c r="A71" s="5" t="s">
        <v>173</v>
      </c>
      <c r="D71" s="7" t="s">
        <v>188</v>
      </c>
      <c r="F71" s="5" t="str">
        <f t="shared" si="1"/>
        <v>IK-SLR2-02-F0012-LV-D-XXK-ND-00-WH-BFU</v>
      </c>
      <c r="G71" s="8" t="s">
        <v>8</v>
      </c>
      <c r="H71" s="8" t="s">
        <v>7</v>
      </c>
      <c r="I71" s="8" t="s">
        <v>177</v>
      </c>
      <c r="J71" s="8">
        <v>2</v>
      </c>
      <c r="K71" s="8" t="s">
        <v>7</v>
      </c>
      <c r="L71" s="9" t="s">
        <v>9</v>
      </c>
      <c r="M71" s="8" t="s">
        <v>7</v>
      </c>
      <c r="N71" s="8" t="s">
        <v>35</v>
      </c>
      <c r="O71" s="8" t="s">
        <v>58</v>
      </c>
      <c r="P71" s="8" t="s">
        <v>7</v>
      </c>
      <c r="Q71" s="8" t="s">
        <v>36</v>
      </c>
      <c r="R71" s="8" t="s">
        <v>7</v>
      </c>
      <c r="S71" s="8" t="s">
        <v>11</v>
      </c>
      <c r="T71" s="8" t="s">
        <v>7</v>
      </c>
      <c r="U71" s="8" t="s">
        <v>175</v>
      </c>
      <c r="V71" s="8" t="s">
        <v>7</v>
      </c>
      <c r="W71" s="8" t="s">
        <v>47</v>
      </c>
      <c r="X71" s="8" t="s">
        <v>7</v>
      </c>
      <c r="Y71" s="10" t="s">
        <v>134</v>
      </c>
      <c r="Z71" s="8" t="s">
        <v>7</v>
      </c>
      <c r="AA71" s="8" t="s">
        <v>49</v>
      </c>
      <c r="AB71" s="8" t="s">
        <v>7</v>
      </c>
      <c r="AC71" s="8" t="s">
        <v>15</v>
      </c>
      <c r="AE71" s="8"/>
      <c r="AF71" s="8"/>
      <c r="AG71" s="8"/>
      <c r="AH71" s="8"/>
      <c r="AI71" s="8"/>
      <c r="AJ71" s="8"/>
      <c r="AK71" s="8"/>
      <c r="AL71" s="8"/>
      <c r="AM71" s="8"/>
    </row>
    <row r="72" spans="1:39" ht="49.9" customHeight="1" x14ac:dyDescent="0.3">
      <c r="A72" s="5" t="s">
        <v>173</v>
      </c>
      <c r="D72" s="7" t="s">
        <v>189</v>
      </c>
      <c r="F72" s="5" t="str">
        <f t="shared" si="1"/>
        <v>IK-SLR2-03-F0010-LV-D-XXK-ND-00-WH-BFU</v>
      </c>
      <c r="G72" s="8" t="s">
        <v>8</v>
      </c>
      <c r="H72" s="8" t="s">
        <v>7</v>
      </c>
      <c r="I72" s="8" t="s">
        <v>177</v>
      </c>
      <c r="J72" s="8">
        <v>2</v>
      </c>
      <c r="K72" s="8" t="s">
        <v>7</v>
      </c>
      <c r="L72" s="9" t="s">
        <v>34</v>
      </c>
      <c r="M72" s="8" t="s">
        <v>7</v>
      </c>
      <c r="N72" s="8" t="s">
        <v>35</v>
      </c>
      <c r="O72" s="8" t="s">
        <v>57</v>
      </c>
      <c r="P72" s="8" t="s">
        <v>7</v>
      </c>
      <c r="Q72" s="8" t="s">
        <v>36</v>
      </c>
      <c r="R72" s="8" t="s">
        <v>7</v>
      </c>
      <c r="S72" s="8" t="s">
        <v>11</v>
      </c>
      <c r="T72" s="8" t="s">
        <v>7</v>
      </c>
      <c r="U72" s="8" t="s">
        <v>175</v>
      </c>
      <c r="V72" s="8" t="s">
        <v>7</v>
      </c>
      <c r="W72" s="8" t="s">
        <v>47</v>
      </c>
      <c r="X72" s="8" t="s">
        <v>7</v>
      </c>
      <c r="Y72" s="10" t="s">
        <v>134</v>
      </c>
      <c r="Z72" s="8" t="s">
        <v>7</v>
      </c>
      <c r="AA72" s="8" t="s">
        <v>49</v>
      </c>
      <c r="AB72" s="8" t="s">
        <v>7</v>
      </c>
      <c r="AC72" s="8" t="s">
        <v>15</v>
      </c>
      <c r="AE72" s="8"/>
      <c r="AF72" s="8"/>
      <c r="AG72" s="8"/>
      <c r="AH72" s="8"/>
      <c r="AI72" s="8"/>
      <c r="AJ72" s="8"/>
      <c r="AK72" s="8"/>
      <c r="AL72" s="8"/>
      <c r="AM72" s="8"/>
    </row>
    <row r="73" spans="1:39" ht="49.9" customHeight="1" x14ac:dyDescent="0.3">
      <c r="A73" s="5" t="s">
        <v>191</v>
      </c>
      <c r="B73" s="5" t="s">
        <v>204</v>
      </c>
      <c r="D73" s="7" t="s">
        <v>190</v>
      </c>
      <c r="F73" s="5" t="str">
        <f t="shared" si="1"/>
        <v>IK-BPL1-14-S0040-MV-D-CCT-WD-05-WH-BFU</v>
      </c>
      <c r="G73" s="8" t="s">
        <v>8</v>
      </c>
      <c r="H73" s="8" t="s">
        <v>7</v>
      </c>
      <c r="I73" s="8" t="s">
        <v>201</v>
      </c>
      <c r="J73" s="8">
        <v>1</v>
      </c>
      <c r="K73" s="8" t="s">
        <v>7</v>
      </c>
      <c r="L73" s="9">
        <v>14</v>
      </c>
      <c r="M73" s="8" t="s">
        <v>7</v>
      </c>
      <c r="N73" s="8" t="s">
        <v>21</v>
      </c>
      <c r="O73" s="8" t="s">
        <v>66</v>
      </c>
      <c r="P73" s="8" t="s">
        <v>7</v>
      </c>
      <c r="Q73" s="8" t="s">
        <v>10</v>
      </c>
      <c r="R73" s="8" t="s">
        <v>7</v>
      </c>
      <c r="S73" s="8" t="s">
        <v>11</v>
      </c>
      <c r="T73" s="8" t="s">
        <v>7</v>
      </c>
      <c r="U73" s="8" t="s">
        <v>12</v>
      </c>
      <c r="V73" s="8" t="s">
        <v>7</v>
      </c>
      <c r="W73" s="8" t="s">
        <v>13</v>
      </c>
      <c r="X73" s="8" t="s">
        <v>7</v>
      </c>
      <c r="Y73" s="10" t="s">
        <v>33</v>
      </c>
      <c r="Z73" s="8" t="s">
        <v>7</v>
      </c>
      <c r="AA73" s="8" t="s">
        <v>49</v>
      </c>
      <c r="AB73" s="8" t="s">
        <v>7</v>
      </c>
      <c r="AC73" s="8" t="s">
        <v>15</v>
      </c>
      <c r="AE73" s="8"/>
      <c r="AF73" s="8"/>
      <c r="AG73" s="8"/>
      <c r="AH73" s="8"/>
      <c r="AI73" s="8"/>
      <c r="AJ73" s="8"/>
      <c r="AK73" s="8"/>
      <c r="AL73" s="8"/>
      <c r="AM73" s="8"/>
    </row>
    <row r="74" spans="1:39" ht="49.9" customHeight="1" x14ac:dyDescent="0.3">
      <c r="A74" s="5" t="s">
        <v>191</v>
      </c>
      <c r="B74" s="5" t="s">
        <v>205</v>
      </c>
      <c r="D74" s="7" t="s">
        <v>202</v>
      </c>
      <c r="F74" s="5" t="str">
        <f t="shared" si="1"/>
        <v>IK-BPL1-22-S0040-MV-D-CCT-WD-05-WH-BFU</v>
      </c>
      <c r="G74" s="8" t="s">
        <v>8</v>
      </c>
      <c r="H74" s="8" t="s">
        <v>7</v>
      </c>
      <c r="I74" s="8" t="s">
        <v>201</v>
      </c>
      <c r="J74" s="8">
        <v>1</v>
      </c>
      <c r="K74" s="8" t="s">
        <v>7</v>
      </c>
      <c r="L74" s="9" t="s">
        <v>88</v>
      </c>
      <c r="M74" s="8" t="s">
        <v>7</v>
      </c>
      <c r="N74" s="8" t="s">
        <v>21</v>
      </c>
      <c r="O74" s="8" t="s">
        <v>66</v>
      </c>
      <c r="P74" s="8" t="s">
        <v>7</v>
      </c>
      <c r="Q74" s="8" t="s">
        <v>10</v>
      </c>
      <c r="R74" s="8" t="s">
        <v>7</v>
      </c>
      <c r="S74" s="8" t="s">
        <v>11</v>
      </c>
      <c r="T74" s="8" t="s">
        <v>7</v>
      </c>
      <c r="U74" s="8" t="s">
        <v>12</v>
      </c>
      <c r="V74" s="8" t="s">
        <v>7</v>
      </c>
      <c r="W74" s="8" t="s">
        <v>13</v>
      </c>
      <c r="X74" s="8" t="s">
        <v>7</v>
      </c>
      <c r="Y74" s="10" t="s">
        <v>33</v>
      </c>
      <c r="Z74" s="8" t="s">
        <v>7</v>
      </c>
      <c r="AA74" s="8" t="s">
        <v>49</v>
      </c>
      <c r="AB74" s="8" t="s">
        <v>7</v>
      </c>
      <c r="AC74" s="8" t="s">
        <v>15</v>
      </c>
      <c r="AE74" s="8"/>
      <c r="AF74" s="8"/>
      <c r="AG74" s="8"/>
      <c r="AH74" s="8"/>
      <c r="AI74" s="8"/>
      <c r="AJ74" s="8"/>
      <c r="AK74" s="8"/>
      <c r="AL74" s="8"/>
      <c r="AM74" s="8"/>
    </row>
    <row r="75" spans="1:39" ht="49.9" customHeight="1" x14ac:dyDescent="0.3">
      <c r="A75" s="5" t="s">
        <v>191</v>
      </c>
      <c r="B75" s="5" t="s">
        <v>206</v>
      </c>
      <c r="D75" s="7" t="s">
        <v>203</v>
      </c>
      <c r="F75" s="5" t="str">
        <f t="shared" ref="F75:F106" si="2">_xlfn.CONCAT(G75,H75,I75,J75,K75,L75,M75,N75,O75,P75,Q75,R75,S75,T75,U75,V75,W75,X75,Y75,Z75,AA75,AB75,AC75,AD75,AE75,AF75,AG75,AH75,AI75,AJ75,AK75,AL75)</f>
        <v>IK-BPL1-24-S0050-MV-D-CCT-WD-05-WH-BFU</v>
      </c>
      <c r="G75" s="8" t="s">
        <v>8</v>
      </c>
      <c r="H75" s="8" t="s">
        <v>7</v>
      </c>
      <c r="I75" s="8" t="s">
        <v>201</v>
      </c>
      <c r="J75" s="8">
        <v>1</v>
      </c>
      <c r="K75" s="8" t="s">
        <v>7</v>
      </c>
      <c r="L75" s="9" t="s">
        <v>89</v>
      </c>
      <c r="M75" s="8" t="s">
        <v>7</v>
      </c>
      <c r="N75" s="8" t="s">
        <v>21</v>
      </c>
      <c r="O75" s="8" t="s">
        <v>67</v>
      </c>
      <c r="P75" s="8" t="s">
        <v>7</v>
      </c>
      <c r="Q75" s="8" t="s">
        <v>10</v>
      </c>
      <c r="R75" s="8" t="s">
        <v>7</v>
      </c>
      <c r="S75" s="8" t="s">
        <v>11</v>
      </c>
      <c r="T75" s="8" t="s">
        <v>7</v>
      </c>
      <c r="U75" s="8" t="s">
        <v>12</v>
      </c>
      <c r="V75" s="8" t="s">
        <v>7</v>
      </c>
      <c r="W75" s="8" t="s">
        <v>13</v>
      </c>
      <c r="X75" s="8" t="s">
        <v>7</v>
      </c>
      <c r="Y75" s="10" t="s">
        <v>33</v>
      </c>
      <c r="Z75" s="8" t="s">
        <v>7</v>
      </c>
      <c r="AA75" s="8" t="s">
        <v>49</v>
      </c>
      <c r="AB75" s="8" t="s">
        <v>7</v>
      </c>
      <c r="AC75" s="8" t="s">
        <v>15</v>
      </c>
      <c r="AE75" s="8"/>
      <c r="AF75" s="8"/>
      <c r="AG75" s="8"/>
      <c r="AH75" s="8"/>
      <c r="AI75" s="8"/>
      <c r="AJ75" s="8"/>
      <c r="AK75" s="8"/>
      <c r="AL75" s="8"/>
      <c r="AM75" s="8"/>
    </row>
    <row r="76" spans="1:39" ht="49.9" customHeight="1" x14ac:dyDescent="0.3">
      <c r="A76" s="5" t="s">
        <v>207</v>
      </c>
      <c r="B76" s="5" t="s">
        <v>208</v>
      </c>
      <c r="D76" s="7" t="s">
        <v>211</v>
      </c>
      <c r="F76" s="5" t="str">
        <f t="shared" si="2"/>
        <v>IK-ATR1-14-S0030-MV-D-CCT-WD-06-WH-BFU</v>
      </c>
      <c r="G76" s="8" t="s">
        <v>8</v>
      </c>
      <c r="H76" s="8" t="s">
        <v>7</v>
      </c>
      <c r="I76" s="8" t="s">
        <v>212</v>
      </c>
      <c r="J76" s="8">
        <v>1</v>
      </c>
      <c r="K76" s="8" t="s">
        <v>7</v>
      </c>
      <c r="L76" s="9">
        <v>14</v>
      </c>
      <c r="M76" s="8" t="s">
        <v>7</v>
      </c>
      <c r="N76" s="8" t="s">
        <v>21</v>
      </c>
      <c r="O76" s="8" t="s">
        <v>65</v>
      </c>
      <c r="P76" s="8" t="s">
        <v>7</v>
      </c>
      <c r="Q76" s="8" t="s">
        <v>10</v>
      </c>
      <c r="R76" s="8" t="s">
        <v>7</v>
      </c>
      <c r="S76" s="8" t="s">
        <v>11</v>
      </c>
      <c r="T76" s="8" t="s">
        <v>7</v>
      </c>
      <c r="U76" s="8" t="s">
        <v>12</v>
      </c>
      <c r="V76" s="8" t="s">
        <v>7</v>
      </c>
      <c r="W76" s="8" t="s">
        <v>13</v>
      </c>
      <c r="X76" s="8" t="s">
        <v>7</v>
      </c>
      <c r="Y76" s="10" t="s">
        <v>123</v>
      </c>
      <c r="Z76" s="8" t="s">
        <v>7</v>
      </c>
      <c r="AA76" s="8" t="s">
        <v>49</v>
      </c>
      <c r="AB76" s="8" t="s">
        <v>7</v>
      </c>
      <c r="AC76" s="8" t="s">
        <v>15</v>
      </c>
      <c r="AE76" s="8"/>
      <c r="AF76" s="8"/>
      <c r="AG76" s="8"/>
      <c r="AH76" s="8"/>
      <c r="AI76" s="8"/>
      <c r="AJ76" s="8"/>
      <c r="AK76" s="8"/>
      <c r="AL76" s="8"/>
      <c r="AM76" s="8"/>
    </row>
    <row r="77" spans="1:39" ht="49.9" customHeight="1" x14ac:dyDescent="0.3">
      <c r="A77" s="5" t="s">
        <v>207</v>
      </c>
      <c r="B77" s="5" t="s">
        <v>560</v>
      </c>
      <c r="D77" s="7" t="s">
        <v>211</v>
      </c>
      <c r="F77" s="5" t="str">
        <f t="shared" si="2"/>
        <v>IK-ATR1-14-S0030-MV-D-CCT-WD-06-WH-BFU-EM18</v>
      </c>
      <c r="G77" s="8" t="s">
        <v>8</v>
      </c>
      <c r="H77" s="8" t="s">
        <v>7</v>
      </c>
      <c r="I77" s="8" t="s">
        <v>212</v>
      </c>
      <c r="J77" s="8">
        <v>1</v>
      </c>
      <c r="K77" s="8" t="s">
        <v>7</v>
      </c>
      <c r="L77" s="9">
        <v>14</v>
      </c>
      <c r="M77" s="8" t="s">
        <v>7</v>
      </c>
      <c r="N77" s="8" t="s">
        <v>21</v>
      </c>
      <c r="O77" s="8" t="s">
        <v>65</v>
      </c>
      <c r="P77" s="8" t="s">
        <v>7</v>
      </c>
      <c r="Q77" s="8" t="s">
        <v>10</v>
      </c>
      <c r="R77" s="8" t="s">
        <v>7</v>
      </c>
      <c r="S77" s="8" t="s">
        <v>11</v>
      </c>
      <c r="T77" s="8" t="s">
        <v>7</v>
      </c>
      <c r="U77" s="8" t="s">
        <v>12</v>
      </c>
      <c r="V77" s="8" t="s">
        <v>7</v>
      </c>
      <c r="W77" s="8" t="s">
        <v>13</v>
      </c>
      <c r="X77" s="8" t="s">
        <v>7</v>
      </c>
      <c r="Y77" s="10" t="s">
        <v>123</v>
      </c>
      <c r="Z77" s="8" t="s">
        <v>7</v>
      </c>
      <c r="AA77" s="8" t="s">
        <v>49</v>
      </c>
      <c r="AB77" s="8" t="s">
        <v>7</v>
      </c>
      <c r="AC77" s="8" t="s">
        <v>15</v>
      </c>
      <c r="AD77" s="8" t="s">
        <v>7</v>
      </c>
      <c r="AE77" s="8"/>
      <c r="AF77" s="8" t="s">
        <v>408</v>
      </c>
      <c r="AG77" s="8"/>
      <c r="AH77" s="8"/>
      <c r="AI77" s="8"/>
      <c r="AJ77" s="8"/>
      <c r="AK77" s="8"/>
      <c r="AL77" s="8"/>
      <c r="AM77" s="8"/>
    </row>
    <row r="78" spans="1:39" ht="49.9" customHeight="1" x14ac:dyDescent="0.3">
      <c r="A78" s="5" t="s">
        <v>207</v>
      </c>
      <c r="B78" s="59" t="s">
        <v>407</v>
      </c>
      <c r="D78" s="7" t="s">
        <v>218</v>
      </c>
      <c r="F78" s="5" t="str">
        <f t="shared" si="2"/>
        <v>IK-ATR1-22-S0030-MV-D-CCT-WD-06-WH-BFU-EM18</v>
      </c>
      <c r="G78" s="8" t="s">
        <v>8</v>
      </c>
      <c r="H78" s="8" t="s">
        <v>7</v>
      </c>
      <c r="I78" s="8" t="s">
        <v>212</v>
      </c>
      <c r="J78" s="8">
        <v>1</v>
      </c>
      <c r="K78" s="8" t="s">
        <v>7</v>
      </c>
      <c r="L78" s="9" t="s">
        <v>88</v>
      </c>
      <c r="M78" s="8" t="s">
        <v>7</v>
      </c>
      <c r="N78" s="8" t="s">
        <v>21</v>
      </c>
      <c r="O78" s="8" t="s">
        <v>65</v>
      </c>
      <c r="P78" s="8" t="s">
        <v>7</v>
      </c>
      <c r="Q78" s="8" t="s">
        <v>10</v>
      </c>
      <c r="R78" s="8" t="s">
        <v>7</v>
      </c>
      <c r="S78" s="8" t="s">
        <v>11</v>
      </c>
      <c r="T78" s="8" t="s">
        <v>7</v>
      </c>
      <c r="U78" s="8" t="s">
        <v>12</v>
      </c>
      <c r="V78" s="8" t="s">
        <v>7</v>
      </c>
      <c r="W78" s="8" t="s">
        <v>13</v>
      </c>
      <c r="X78" s="8" t="s">
        <v>7</v>
      </c>
      <c r="Y78" s="10" t="s">
        <v>123</v>
      </c>
      <c r="Z78" s="8" t="s">
        <v>7</v>
      </c>
      <c r="AA78" s="8" t="s">
        <v>49</v>
      </c>
      <c r="AB78" s="8" t="s">
        <v>7</v>
      </c>
      <c r="AC78" s="8" t="s">
        <v>15</v>
      </c>
      <c r="AD78" s="8" t="s">
        <v>7</v>
      </c>
      <c r="AE78" s="8"/>
      <c r="AF78" s="8" t="s">
        <v>408</v>
      </c>
      <c r="AG78" s="8"/>
      <c r="AH78" s="8"/>
      <c r="AI78" s="8"/>
      <c r="AJ78" s="8"/>
      <c r="AK78" s="8"/>
      <c r="AL78" s="8"/>
      <c r="AM78" s="8"/>
    </row>
    <row r="79" spans="1:39" ht="49.9" customHeight="1" x14ac:dyDescent="0.3">
      <c r="A79" s="5" t="s">
        <v>207</v>
      </c>
      <c r="B79" s="5" t="s">
        <v>209</v>
      </c>
      <c r="C79" s="6">
        <v>662187501918</v>
      </c>
      <c r="D79" s="7" t="s">
        <v>218</v>
      </c>
      <c r="F79" s="5" t="str">
        <f t="shared" si="2"/>
        <v>IK-ATR1-22-S0030-MV-D-CCT-WD-06-WH-BFU</v>
      </c>
      <c r="G79" s="8" t="s">
        <v>8</v>
      </c>
      <c r="H79" s="8" t="s">
        <v>7</v>
      </c>
      <c r="I79" s="8" t="s">
        <v>212</v>
      </c>
      <c r="J79" s="8">
        <v>1</v>
      </c>
      <c r="K79" s="8" t="s">
        <v>7</v>
      </c>
      <c r="L79" s="9" t="s">
        <v>88</v>
      </c>
      <c r="M79" s="8" t="s">
        <v>7</v>
      </c>
      <c r="N79" s="8" t="s">
        <v>21</v>
      </c>
      <c r="O79" s="8" t="s">
        <v>65</v>
      </c>
      <c r="P79" s="8" t="s">
        <v>7</v>
      </c>
      <c r="Q79" s="8" t="s">
        <v>10</v>
      </c>
      <c r="R79" s="8" t="s">
        <v>7</v>
      </c>
      <c r="S79" s="8" t="s">
        <v>11</v>
      </c>
      <c r="T79" s="8" t="s">
        <v>7</v>
      </c>
      <c r="U79" s="8" t="s">
        <v>12</v>
      </c>
      <c r="V79" s="8" t="s">
        <v>7</v>
      </c>
      <c r="W79" s="8" t="s">
        <v>13</v>
      </c>
      <c r="X79" s="8" t="s">
        <v>7</v>
      </c>
      <c r="Y79" s="10" t="s">
        <v>123</v>
      </c>
      <c r="Z79" s="8" t="s">
        <v>7</v>
      </c>
      <c r="AA79" s="8" t="s">
        <v>49</v>
      </c>
      <c r="AB79" s="8" t="s">
        <v>7</v>
      </c>
      <c r="AC79" s="8" t="s">
        <v>15</v>
      </c>
      <c r="AE79" s="8"/>
      <c r="AF79" s="8"/>
      <c r="AG79" s="8"/>
      <c r="AH79" s="8"/>
      <c r="AI79" s="8"/>
      <c r="AJ79" s="8"/>
      <c r="AK79" s="8"/>
      <c r="AL79" s="8"/>
      <c r="AM79" s="8"/>
    </row>
    <row r="80" spans="1:39" ht="49.9" customHeight="1" x14ac:dyDescent="0.3">
      <c r="A80" s="5" t="s">
        <v>207</v>
      </c>
      <c r="B80" s="5" t="s">
        <v>210</v>
      </c>
      <c r="C80" s="6">
        <v>662187501925</v>
      </c>
      <c r="D80" s="7" t="s">
        <v>219</v>
      </c>
      <c r="F80" s="5" t="str">
        <f t="shared" si="2"/>
        <v>IK-ATR1-24-S0035-MV-D-CCT-WD-06-WH-BFU</v>
      </c>
      <c r="G80" s="8" t="s">
        <v>8</v>
      </c>
      <c r="H80" s="8" t="s">
        <v>7</v>
      </c>
      <c r="I80" s="8" t="s">
        <v>212</v>
      </c>
      <c r="J80" s="8">
        <v>1</v>
      </c>
      <c r="K80" s="8" t="s">
        <v>7</v>
      </c>
      <c r="L80" s="9" t="s">
        <v>89</v>
      </c>
      <c r="M80" s="8" t="s">
        <v>7</v>
      </c>
      <c r="N80" s="8" t="s">
        <v>21</v>
      </c>
      <c r="O80" s="8" t="s">
        <v>217</v>
      </c>
      <c r="P80" s="8" t="s">
        <v>7</v>
      </c>
      <c r="Q80" s="8" t="s">
        <v>10</v>
      </c>
      <c r="R80" s="8" t="s">
        <v>7</v>
      </c>
      <c r="S80" s="8" t="s">
        <v>11</v>
      </c>
      <c r="T80" s="8" t="s">
        <v>7</v>
      </c>
      <c r="U80" s="8" t="s">
        <v>12</v>
      </c>
      <c r="V80" s="8" t="s">
        <v>7</v>
      </c>
      <c r="W80" s="8" t="s">
        <v>13</v>
      </c>
      <c r="X80" s="8" t="s">
        <v>7</v>
      </c>
      <c r="Y80" s="10" t="s">
        <v>123</v>
      </c>
      <c r="Z80" s="8" t="s">
        <v>7</v>
      </c>
      <c r="AA80" s="8" t="s">
        <v>49</v>
      </c>
      <c r="AB80" s="8" t="s">
        <v>7</v>
      </c>
      <c r="AC80" s="8" t="s">
        <v>15</v>
      </c>
      <c r="AE80" s="8"/>
      <c r="AF80" s="8"/>
      <c r="AG80" s="8"/>
      <c r="AH80" s="8"/>
      <c r="AI80" s="8"/>
      <c r="AJ80" s="8"/>
      <c r="AK80" s="8"/>
      <c r="AL80" s="8"/>
      <c r="AM80" s="8"/>
    </row>
    <row r="81" spans="1:39" ht="49.9" customHeight="1" x14ac:dyDescent="0.3">
      <c r="A81" s="5" t="s">
        <v>207</v>
      </c>
      <c r="B81" s="5" t="s">
        <v>558</v>
      </c>
      <c r="D81" s="7" t="s">
        <v>219</v>
      </c>
      <c r="F81" s="5" t="str">
        <f t="shared" si="2"/>
        <v>IK-ATR1-24-S0035-MV-D-CCT-WD-06-WH-BFU-EM18</v>
      </c>
      <c r="G81" s="8" t="s">
        <v>8</v>
      </c>
      <c r="H81" s="8" t="s">
        <v>7</v>
      </c>
      <c r="I81" s="8" t="s">
        <v>212</v>
      </c>
      <c r="J81" s="8">
        <v>1</v>
      </c>
      <c r="K81" s="8" t="s">
        <v>7</v>
      </c>
      <c r="L81" s="9" t="s">
        <v>89</v>
      </c>
      <c r="M81" s="8" t="s">
        <v>7</v>
      </c>
      <c r="N81" s="8" t="s">
        <v>21</v>
      </c>
      <c r="O81" s="8" t="s">
        <v>217</v>
      </c>
      <c r="P81" s="8" t="s">
        <v>7</v>
      </c>
      <c r="Q81" s="8" t="s">
        <v>10</v>
      </c>
      <c r="R81" s="8" t="s">
        <v>7</v>
      </c>
      <c r="S81" s="8" t="s">
        <v>11</v>
      </c>
      <c r="T81" s="8" t="s">
        <v>7</v>
      </c>
      <c r="U81" s="8" t="s">
        <v>12</v>
      </c>
      <c r="V81" s="8" t="s">
        <v>7</v>
      </c>
      <c r="W81" s="8" t="s">
        <v>13</v>
      </c>
      <c r="X81" s="8" t="s">
        <v>7</v>
      </c>
      <c r="Y81" s="10" t="s">
        <v>123</v>
      </c>
      <c r="Z81" s="8" t="s">
        <v>7</v>
      </c>
      <c r="AA81" s="8" t="s">
        <v>49</v>
      </c>
      <c r="AB81" s="8" t="s">
        <v>7</v>
      </c>
      <c r="AC81" s="8" t="s">
        <v>15</v>
      </c>
      <c r="AD81" s="8" t="s">
        <v>7</v>
      </c>
      <c r="AE81" s="8"/>
      <c r="AF81" s="8" t="s">
        <v>408</v>
      </c>
      <c r="AG81" s="8"/>
      <c r="AH81" s="8"/>
      <c r="AI81" s="8"/>
      <c r="AJ81" s="8"/>
      <c r="AK81" s="8"/>
      <c r="AL81" s="8"/>
      <c r="AM81" s="8"/>
    </row>
    <row r="82" spans="1:39" ht="49.9" customHeight="1" x14ac:dyDescent="0.3">
      <c r="A82" s="5" t="s">
        <v>207</v>
      </c>
      <c r="B82" s="5" t="s">
        <v>656</v>
      </c>
      <c r="D82" s="7" t="s">
        <v>658</v>
      </c>
      <c r="F82" s="5" t="str">
        <f t="shared" si="2"/>
        <v>IK-ATR1-24-F0036-MV-D-40K-WD-09-WH-BFU-MWS</v>
      </c>
      <c r="G82" s="8" t="s">
        <v>8</v>
      </c>
      <c r="H82" s="8" t="s">
        <v>7</v>
      </c>
      <c r="I82" s="8" t="s">
        <v>212</v>
      </c>
      <c r="J82" s="8">
        <v>1</v>
      </c>
      <c r="K82" s="8" t="s">
        <v>7</v>
      </c>
      <c r="L82" s="9" t="s">
        <v>89</v>
      </c>
      <c r="M82" s="8" t="s">
        <v>7</v>
      </c>
      <c r="N82" s="8" t="s">
        <v>35</v>
      </c>
      <c r="O82" s="8" t="s">
        <v>657</v>
      </c>
      <c r="P82" s="8" t="s">
        <v>7</v>
      </c>
      <c r="Q82" s="8" t="s">
        <v>10</v>
      </c>
      <c r="R82" s="8" t="s">
        <v>7</v>
      </c>
      <c r="S82" s="8" t="s">
        <v>11</v>
      </c>
      <c r="T82" s="8" t="s">
        <v>7</v>
      </c>
      <c r="U82" s="8" t="s">
        <v>41</v>
      </c>
      <c r="V82" s="8" t="s">
        <v>7</v>
      </c>
      <c r="W82" s="8" t="s">
        <v>13</v>
      </c>
      <c r="X82" s="8" t="s">
        <v>7</v>
      </c>
      <c r="Y82" s="10" t="s">
        <v>276</v>
      </c>
      <c r="Z82" s="8" t="s">
        <v>7</v>
      </c>
      <c r="AA82" s="8" t="s">
        <v>49</v>
      </c>
      <c r="AB82" s="8" t="s">
        <v>7</v>
      </c>
      <c r="AC82" s="8" t="s">
        <v>15</v>
      </c>
      <c r="AD82" s="8" t="s">
        <v>7</v>
      </c>
      <c r="AE82" s="8"/>
      <c r="AF82" s="8"/>
      <c r="AG82" s="8" t="s">
        <v>323</v>
      </c>
      <c r="AH82" s="8"/>
      <c r="AI82" s="8"/>
      <c r="AJ82" s="8"/>
      <c r="AK82" s="8"/>
      <c r="AL82" s="8"/>
      <c r="AM82" s="8"/>
    </row>
    <row r="83" spans="1:39" ht="49.9" customHeight="1" x14ac:dyDescent="0.3">
      <c r="A83" s="5" t="s">
        <v>207</v>
      </c>
      <c r="B83" s="5" t="s">
        <v>239</v>
      </c>
      <c r="D83" s="7" t="s">
        <v>211</v>
      </c>
      <c r="F83" s="5" t="str">
        <f t="shared" si="2"/>
        <v>IK-RTR1-14-S0030-MV-D-CCT-WD-06-WH-BFU</v>
      </c>
      <c r="G83" s="8" t="s">
        <v>8</v>
      </c>
      <c r="H83" s="8" t="s">
        <v>7</v>
      </c>
      <c r="I83" s="8" t="s">
        <v>213</v>
      </c>
      <c r="J83" s="8">
        <v>1</v>
      </c>
      <c r="K83" s="8" t="s">
        <v>7</v>
      </c>
      <c r="L83" s="9">
        <v>14</v>
      </c>
      <c r="M83" s="8" t="s">
        <v>7</v>
      </c>
      <c r="N83" s="8" t="s">
        <v>21</v>
      </c>
      <c r="O83" s="8" t="s">
        <v>65</v>
      </c>
      <c r="P83" s="8" t="s">
        <v>7</v>
      </c>
      <c r="Q83" s="8" t="s">
        <v>10</v>
      </c>
      <c r="R83" s="8" t="s">
        <v>7</v>
      </c>
      <c r="S83" s="8" t="s">
        <v>11</v>
      </c>
      <c r="T83" s="8" t="s">
        <v>7</v>
      </c>
      <c r="U83" s="8" t="s">
        <v>12</v>
      </c>
      <c r="V83" s="8" t="s">
        <v>7</v>
      </c>
      <c r="W83" s="8" t="s">
        <v>13</v>
      </c>
      <c r="X83" s="8" t="s">
        <v>7</v>
      </c>
      <c r="Y83" s="10" t="s">
        <v>123</v>
      </c>
      <c r="Z83" s="8" t="s">
        <v>7</v>
      </c>
      <c r="AA83" s="8" t="s">
        <v>49</v>
      </c>
      <c r="AB83" s="8" t="s">
        <v>7</v>
      </c>
      <c r="AC83" s="8" t="s">
        <v>15</v>
      </c>
      <c r="AE83" s="8"/>
      <c r="AF83" s="8"/>
      <c r="AG83" s="8"/>
      <c r="AH83" s="8"/>
      <c r="AI83" s="8"/>
      <c r="AJ83" s="8"/>
      <c r="AK83" s="8"/>
      <c r="AL83" s="8"/>
      <c r="AM83" s="8"/>
    </row>
    <row r="84" spans="1:39" ht="49.9" customHeight="1" x14ac:dyDescent="0.3">
      <c r="A84" s="5" t="s">
        <v>207</v>
      </c>
      <c r="B84" s="5" t="s">
        <v>559</v>
      </c>
      <c r="D84" s="7" t="s">
        <v>211</v>
      </c>
      <c r="F84" s="5" t="str">
        <f t="shared" si="2"/>
        <v>IK-RTR1-14-S0030-MV-D-CCT-WD-06-WH-BFU-EM18</v>
      </c>
      <c r="G84" s="8" t="s">
        <v>8</v>
      </c>
      <c r="H84" s="8" t="s">
        <v>7</v>
      </c>
      <c r="I84" s="8" t="s">
        <v>213</v>
      </c>
      <c r="J84" s="8">
        <v>1</v>
      </c>
      <c r="K84" s="8" t="s">
        <v>7</v>
      </c>
      <c r="L84" s="9">
        <v>14</v>
      </c>
      <c r="M84" s="8" t="s">
        <v>7</v>
      </c>
      <c r="N84" s="8" t="s">
        <v>21</v>
      </c>
      <c r="O84" s="8" t="s">
        <v>65</v>
      </c>
      <c r="P84" s="8" t="s">
        <v>7</v>
      </c>
      <c r="Q84" s="8" t="s">
        <v>10</v>
      </c>
      <c r="R84" s="8" t="s">
        <v>7</v>
      </c>
      <c r="S84" s="8" t="s">
        <v>11</v>
      </c>
      <c r="T84" s="8" t="s">
        <v>7</v>
      </c>
      <c r="U84" s="8" t="s">
        <v>12</v>
      </c>
      <c r="V84" s="8" t="s">
        <v>7</v>
      </c>
      <c r="W84" s="8" t="s">
        <v>13</v>
      </c>
      <c r="X84" s="8" t="s">
        <v>7</v>
      </c>
      <c r="Y84" s="10" t="s">
        <v>123</v>
      </c>
      <c r="Z84" s="8" t="s">
        <v>7</v>
      </c>
      <c r="AA84" s="8" t="s">
        <v>49</v>
      </c>
      <c r="AB84" s="8" t="s">
        <v>7</v>
      </c>
      <c r="AC84" s="8" t="s">
        <v>15</v>
      </c>
      <c r="AD84" s="8" t="s">
        <v>7</v>
      </c>
      <c r="AE84" s="8"/>
      <c r="AF84" s="8" t="s">
        <v>408</v>
      </c>
      <c r="AG84" s="8"/>
      <c r="AH84" s="8"/>
      <c r="AI84" s="8"/>
      <c r="AJ84" s="8"/>
      <c r="AK84" s="8"/>
      <c r="AL84" s="8"/>
      <c r="AM84" s="8"/>
    </row>
    <row r="85" spans="1:39" ht="49.9" customHeight="1" x14ac:dyDescent="0.3">
      <c r="A85" s="5" t="s">
        <v>207</v>
      </c>
      <c r="B85" s="5" t="s">
        <v>240</v>
      </c>
      <c r="C85" s="6">
        <v>662187501802</v>
      </c>
      <c r="D85" s="7" t="s">
        <v>218</v>
      </c>
      <c r="F85" s="5" t="str">
        <f t="shared" si="2"/>
        <v>IK-RTR1-22-S0030-MV-D-CCT-WD-06-WH-BFU</v>
      </c>
      <c r="G85" s="8" t="s">
        <v>8</v>
      </c>
      <c r="H85" s="8" t="s">
        <v>7</v>
      </c>
      <c r="I85" s="8" t="s">
        <v>213</v>
      </c>
      <c r="J85" s="8">
        <v>1</v>
      </c>
      <c r="K85" s="8" t="s">
        <v>7</v>
      </c>
      <c r="L85" s="9" t="s">
        <v>88</v>
      </c>
      <c r="M85" s="8" t="s">
        <v>7</v>
      </c>
      <c r="N85" s="8" t="s">
        <v>21</v>
      </c>
      <c r="O85" s="8" t="s">
        <v>65</v>
      </c>
      <c r="P85" s="8" t="s">
        <v>7</v>
      </c>
      <c r="Q85" s="8" t="s">
        <v>10</v>
      </c>
      <c r="R85" s="8" t="s">
        <v>7</v>
      </c>
      <c r="S85" s="8" t="s">
        <v>11</v>
      </c>
      <c r="T85" s="8" t="s">
        <v>7</v>
      </c>
      <c r="U85" s="8" t="s">
        <v>12</v>
      </c>
      <c r="V85" s="8" t="s">
        <v>7</v>
      </c>
      <c r="W85" s="8" t="s">
        <v>13</v>
      </c>
      <c r="X85" s="8" t="s">
        <v>7</v>
      </c>
      <c r="Y85" s="10" t="s">
        <v>123</v>
      </c>
      <c r="Z85" s="8" t="s">
        <v>7</v>
      </c>
      <c r="AA85" s="8" t="s">
        <v>49</v>
      </c>
      <c r="AB85" s="8" t="s">
        <v>7</v>
      </c>
      <c r="AC85" s="8" t="s">
        <v>15</v>
      </c>
      <c r="AE85" s="8"/>
      <c r="AF85" s="8"/>
      <c r="AG85" s="8"/>
      <c r="AH85" s="8"/>
      <c r="AI85" s="8"/>
      <c r="AJ85" s="8"/>
      <c r="AK85" s="8"/>
      <c r="AL85" s="8"/>
      <c r="AM85" s="8"/>
    </row>
    <row r="86" spans="1:39" ht="49.9" customHeight="1" x14ac:dyDescent="0.3">
      <c r="A86" s="5" t="s">
        <v>207</v>
      </c>
      <c r="B86" s="5" t="s">
        <v>435</v>
      </c>
      <c r="C86" s="6">
        <v>662187501802</v>
      </c>
      <c r="D86" s="7" t="s">
        <v>436</v>
      </c>
      <c r="F86" s="5" t="str">
        <f t="shared" si="2"/>
        <v>IK-RTR1-22-S0030-MV-D-CCT-WD-06-WH-BFU-EM18</v>
      </c>
      <c r="G86" s="8" t="s">
        <v>8</v>
      </c>
      <c r="H86" s="8" t="s">
        <v>7</v>
      </c>
      <c r="I86" s="8" t="s">
        <v>213</v>
      </c>
      <c r="J86" s="8">
        <v>1</v>
      </c>
      <c r="K86" s="8" t="s">
        <v>7</v>
      </c>
      <c r="L86" s="9" t="s">
        <v>88</v>
      </c>
      <c r="M86" s="8" t="s">
        <v>7</v>
      </c>
      <c r="N86" s="8" t="s">
        <v>21</v>
      </c>
      <c r="O86" s="8" t="s">
        <v>65</v>
      </c>
      <c r="P86" s="8" t="s">
        <v>7</v>
      </c>
      <c r="Q86" s="8" t="s">
        <v>10</v>
      </c>
      <c r="R86" s="8" t="s">
        <v>7</v>
      </c>
      <c r="S86" s="8" t="s">
        <v>11</v>
      </c>
      <c r="T86" s="8" t="s">
        <v>7</v>
      </c>
      <c r="U86" s="8" t="s">
        <v>12</v>
      </c>
      <c r="V86" s="8" t="s">
        <v>7</v>
      </c>
      <c r="W86" s="8" t="s">
        <v>13</v>
      </c>
      <c r="X86" s="8" t="s">
        <v>7</v>
      </c>
      <c r="Y86" s="10" t="s">
        <v>123</v>
      </c>
      <c r="Z86" s="8" t="s">
        <v>7</v>
      </c>
      <c r="AA86" s="8" t="s">
        <v>49</v>
      </c>
      <c r="AB86" s="8" t="s">
        <v>7</v>
      </c>
      <c r="AC86" s="8" t="s">
        <v>15</v>
      </c>
      <c r="AD86" s="8" t="s">
        <v>7</v>
      </c>
      <c r="AE86" s="8"/>
      <c r="AF86" s="8" t="s">
        <v>408</v>
      </c>
      <c r="AG86" s="8"/>
      <c r="AH86" s="8"/>
      <c r="AI86" s="8"/>
      <c r="AJ86" s="8"/>
      <c r="AK86" s="8"/>
      <c r="AL86" s="8"/>
      <c r="AM86" s="8"/>
    </row>
    <row r="87" spans="1:39" ht="49.9" customHeight="1" x14ac:dyDescent="0.3">
      <c r="A87" s="5" t="s">
        <v>207</v>
      </c>
      <c r="B87" s="5" t="s">
        <v>241</v>
      </c>
      <c r="C87" s="6">
        <v>662187501819</v>
      </c>
      <c r="D87" s="7" t="s">
        <v>219</v>
      </c>
      <c r="F87" s="5" t="str">
        <f t="shared" si="2"/>
        <v>IK-RTR1-24-S0035-MV-D-CCT-WD-06-WH-BFU</v>
      </c>
      <c r="G87" s="8" t="s">
        <v>8</v>
      </c>
      <c r="H87" s="8" t="s">
        <v>7</v>
      </c>
      <c r="I87" s="8" t="s">
        <v>213</v>
      </c>
      <c r="J87" s="8">
        <v>1</v>
      </c>
      <c r="K87" s="8" t="s">
        <v>7</v>
      </c>
      <c r="L87" s="9" t="s">
        <v>89</v>
      </c>
      <c r="M87" s="8" t="s">
        <v>7</v>
      </c>
      <c r="N87" s="8" t="s">
        <v>21</v>
      </c>
      <c r="O87" s="8" t="s">
        <v>217</v>
      </c>
      <c r="P87" s="8" t="s">
        <v>7</v>
      </c>
      <c r="Q87" s="8" t="s">
        <v>10</v>
      </c>
      <c r="R87" s="8" t="s">
        <v>7</v>
      </c>
      <c r="S87" s="8" t="s">
        <v>11</v>
      </c>
      <c r="T87" s="8" t="s">
        <v>7</v>
      </c>
      <c r="U87" s="8" t="s">
        <v>12</v>
      </c>
      <c r="V87" s="8" t="s">
        <v>7</v>
      </c>
      <c r="W87" s="8" t="s">
        <v>13</v>
      </c>
      <c r="X87" s="8" t="s">
        <v>7</v>
      </c>
      <c r="Y87" s="10" t="s">
        <v>123</v>
      </c>
      <c r="Z87" s="8" t="s">
        <v>7</v>
      </c>
      <c r="AA87" s="8" t="s">
        <v>49</v>
      </c>
      <c r="AB87" s="8" t="s">
        <v>7</v>
      </c>
      <c r="AC87" s="8" t="s">
        <v>15</v>
      </c>
      <c r="AE87" s="8"/>
      <c r="AF87" s="8"/>
      <c r="AG87" s="8"/>
      <c r="AH87" s="8"/>
      <c r="AI87" s="8"/>
      <c r="AJ87" s="8"/>
      <c r="AK87" s="8"/>
      <c r="AL87" s="8"/>
      <c r="AM87" s="8"/>
    </row>
    <row r="88" spans="1:39" ht="49.9" customHeight="1" x14ac:dyDescent="0.3">
      <c r="A88" s="5" t="s">
        <v>207</v>
      </c>
      <c r="B88" s="5" t="s">
        <v>561</v>
      </c>
      <c r="C88" s="6">
        <v>662187501819</v>
      </c>
      <c r="D88" s="7" t="s">
        <v>219</v>
      </c>
      <c r="F88" s="5" t="str">
        <f t="shared" si="2"/>
        <v>IK-RTR1-24-S0035-MV-D-CCT-WD-06-WH-BFU-EM18MWS</v>
      </c>
      <c r="G88" s="8" t="s">
        <v>8</v>
      </c>
      <c r="H88" s="8" t="s">
        <v>7</v>
      </c>
      <c r="I88" s="8" t="s">
        <v>213</v>
      </c>
      <c r="J88" s="8">
        <v>1</v>
      </c>
      <c r="K88" s="8" t="s">
        <v>7</v>
      </c>
      <c r="L88" s="9" t="s">
        <v>89</v>
      </c>
      <c r="M88" s="8" t="s">
        <v>7</v>
      </c>
      <c r="N88" s="8" t="s">
        <v>21</v>
      </c>
      <c r="O88" s="8" t="s">
        <v>217</v>
      </c>
      <c r="P88" s="8" t="s">
        <v>7</v>
      </c>
      <c r="Q88" s="8" t="s">
        <v>10</v>
      </c>
      <c r="R88" s="8" t="s">
        <v>7</v>
      </c>
      <c r="S88" s="8" t="s">
        <v>11</v>
      </c>
      <c r="T88" s="8" t="s">
        <v>7</v>
      </c>
      <c r="U88" s="8" t="s">
        <v>12</v>
      </c>
      <c r="V88" s="8" t="s">
        <v>7</v>
      </c>
      <c r="W88" s="8" t="s">
        <v>13</v>
      </c>
      <c r="X88" s="8" t="s">
        <v>7</v>
      </c>
      <c r="Y88" s="10" t="s">
        <v>123</v>
      </c>
      <c r="Z88" s="8" t="s">
        <v>7</v>
      </c>
      <c r="AA88" s="8" t="s">
        <v>49</v>
      </c>
      <c r="AB88" s="8" t="s">
        <v>7</v>
      </c>
      <c r="AC88" s="8" t="s">
        <v>15</v>
      </c>
      <c r="AD88" s="8" t="s">
        <v>7</v>
      </c>
      <c r="AE88" s="8"/>
      <c r="AF88" s="8" t="s">
        <v>408</v>
      </c>
      <c r="AG88" s="8" t="s">
        <v>323</v>
      </c>
      <c r="AH88" s="8"/>
      <c r="AI88" s="8"/>
      <c r="AJ88" s="8"/>
      <c r="AK88" s="8"/>
      <c r="AL88" s="8"/>
      <c r="AM88" s="8"/>
    </row>
    <row r="89" spans="1:39" ht="49.9" customHeight="1" x14ac:dyDescent="0.3">
      <c r="A89" s="5" t="s">
        <v>244</v>
      </c>
      <c r="B89" s="5" t="s">
        <v>253</v>
      </c>
      <c r="C89" s="6">
        <v>662187507484</v>
      </c>
      <c r="D89" s="7" t="s">
        <v>254</v>
      </c>
      <c r="F89" s="5" t="str">
        <f t="shared" si="2"/>
        <v>IK-T5G0B-02-F0007-MV-D-40K-UD-00-WH-BFU-SF</v>
      </c>
      <c r="G89" s="8" t="s">
        <v>8</v>
      </c>
      <c r="H89" s="8" t="s">
        <v>7</v>
      </c>
      <c r="I89" s="8" t="s">
        <v>235</v>
      </c>
      <c r="J89" s="8" t="s">
        <v>231</v>
      </c>
      <c r="K89" s="8" t="s">
        <v>7</v>
      </c>
      <c r="L89" s="9" t="s">
        <v>9</v>
      </c>
      <c r="M89" s="8" t="s">
        <v>7</v>
      </c>
      <c r="N89" s="8" t="s">
        <v>35</v>
      </c>
      <c r="O89" s="8" t="s">
        <v>255</v>
      </c>
      <c r="P89" s="8" t="s">
        <v>7</v>
      </c>
      <c r="Q89" s="8" t="s">
        <v>10</v>
      </c>
      <c r="R89" s="8" t="s">
        <v>7</v>
      </c>
      <c r="S89" s="8" t="s">
        <v>11</v>
      </c>
      <c r="T89" s="8" t="s">
        <v>7</v>
      </c>
      <c r="U89" s="8" t="s">
        <v>41</v>
      </c>
      <c r="V89" s="8" t="s">
        <v>7</v>
      </c>
      <c r="W89" s="8" t="s">
        <v>48</v>
      </c>
      <c r="X89" s="8" t="s">
        <v>7</v>
      </c>
      <c r="Y89" s="10" t="s">
        <v>134</v>
      </c>
      <c r="Z89" s="8" t="s">
        <v>7</v>
      </c>
      <c r="AA89" s="8" t="s">
        <v>49</v>
      </c>
      <c r="AB89" s="8" t="s">
        <v>7</v>
      </c>
      <c r="AC89" s="8" t="s">
        <v>15</v>
      </c>
      <c r="AD89" s="8" t="s">
        <v>7</v>
      </c>
      <c r="AE89" s="8" t="s">
        <v>252</v>
      </c>
      <c r="AF89" s="8"/>
      <c r="AG89" s="8"/>
      <c r="AH89" s="8"/>
      <c r="AI89" s="8"/>
      <c r="AJ89" s="8"/>
      <c r="AK89" s="8"/>
      <c r="AL89" s="8"/>
      <c r="AM89" s="8"/>
    </row>
    <row r="90" spans="1:39" ht="49.9" customHeight="1" x14ac:dyDescent="0.3">
      <c r="A90" s="5" t="s">
        <v>244</v>
      </c>
      <c r="B90" s="5" t="s">
        <v>253</v>
      </c>
      <c r="C90" s="6">
        <v>662187501956</v>
      </c>
      <c r="D90" s="7" t="s">
        <v>256</v>
      </c>
      <c r="F90" s="5" t="str">
        <f t="shared" si="2"/>
        <v>IK-T5G0B-04-F0015-MV-D-40K-UD-00-WH-BFU-SF</v>
      </c>
      <c r="G90" s="8" t="s">
        <v>8</v>
      </c>
      <c r="H90" s="8" t="s">
        <v>7</v>
      </c>
      <c r="I90" s="8" t="s">
        <v>235</v>
      </c>
      <c r="J90" s="8" t="s">
        <v>231</v>
      </c>
      <c r="K90" s="8" t="s">
        <v>7</v>
      </c>
      <c r="L90" s="9" t="s">
        <v>32</v>
      </c>
      <c r="M90" s="8" t="s">
        <v>7</v>
      </c>
      <c r="N90" s="8" t="s">
        <v>35</v>
      </c>
      <c r="O90" s="8" t="s">
        <v>59</v>
      </c>
      <c r="P90" s="8" t="s">
        <v>7</v>
      </c>
      <c r="Q90" s="8" t="s">
        <v>10</v>
      </c>
      <c r="R90" s="8" t="s">
        <v>7</v>
      </c>
      <c r="S90" s="8" t="s">
        <v>11</v>
      </c>
      <c r="T90" s="8" t="s">
        <v>7</v>
      </c>
      <c r="U90" s="8" t="s">
        <v>41</v>
      </c>
      <c r="V90" s="8" t="s">
        <v>7</v>
      </c>
      <c r="W90" s="8" t="s">
        <v>48</v>
      </c>
      <c r="X90" s="8" t="s">
        <v>7</v>
      </c>
      <c r="Y90" s="10" t="s">
        <v>134</v>
      </c>
      <c r="Z90" s="8" t="s">
        <v>7</v>
      </c>
      <c r="AA90" s="8" t="s">
        <v>49</v>
      </c>
      <c r="AB90" s="8" t="s">
        <v>7</v>
      </c>
      <c r="AC90" s="8" t="s">
        <v>15</v>
      </c>
      <c r="AD90" s="8" t="s">
        <v>7</v>
      </c>
      <c r="AE90" s="8" t="s">
        <v>252</v>
      </c>
      <c r="AF90" s="8"/>
      <c r="AG90" s="8"/>
      <c r="AH90" s="8"/>
      <c r="AI90" s="8"/>
      <c r="AJ90" s="8"/>
      <c r="AK90" s="8"/>
      <c r="AL90" s="8"/>
      <c r="AM90" s="8"/>
    </row>
    <row r="91" spans="1:39" ht="49.9" customHeight="1" x14ac:dyDescent="0.3">
      <c r="A91" s="5" t="s">
        <v>244</v>
      </c>
      <c r="B91" s="5" t="s">
        <v>253</v>
      </c>
      <c r="D91" s="7" t="s">
        <v>578</v>
      </c>
      <c r="F91" s="5" t="str">
        <f t="shared" si="2"/>
        <v>IK-T5GAB-04-F0015-MV-D-40K-UD-00-WH-BFU-SF</v>
      </c>
      <c r="G91" s="8" t="s">
        <v>8</v>
      </c>
      <c r="H91" s="8" t="s">
        <v>7</v>
      </c>
      <c r="I91" s="8" t="s">
        <v>235</v>
      </c>
      <c r="J91" s="8" t="s">
        <v>221</v>
      </c>
      <c r="K91" s="8" t="s">
        <v>7</v>
      </c>
      <c r="L91" s="9" t="s">
        <v>32</v>
      </c>
      <c r="M91" s="8" t="s">
        <v>7</v>
      </c>
      <c r="N91" s="8" t="s">
        <v>35</v>
      </c>
      <c r="O91" s="8" t="s">
        <v>59</v>
      </c>
      <c r="P91" s="8" t="s">
        <v>7</v>
      </c>
      <c r="Q91" s="8" t="s">
        <v>10</v>
      </c>
      <c r="R91" s="8" t="s">
        <v>7</v>
      </c>
      <c r="S91" s="8" t="s">
        <v>11</v>
      </c>
      <c r="T91" s="8" t="s">
        <v>7</v>
      </c>
      <c r="U91" s="8" t="s">
        <v>41</v>
      </c>
      <c r="V91" s="8" t="s">
        <v>7</v>
      </c>
      <c r="W91" s="8" t="s">
        <v>48</v>
      </c>
      <c r="X91" s="8" t="s">
        <v>7</v>
      </c>
      <c r="Y91" s="10" t="s">
        <v>134</v>
      </c>
      <c r="Z91" s="8" t="s">
        <v>7</v>
      </c>
      <c r="AA91" s="8" t="s">
        <v>49</v>
      </c>
      <c r="AB91" s="8" t="s">
        <v>7</v>
      </c>
      <c r="AC91" s="8" t="s">
        <v>15</v>
      </c>
      <c r="AD91" s="8" t="s">
        <v>7</v>
      </c>
      <c r="AE91" s="8" t="s">
        <v>252</v>
      </c>
      <c r="AF91" s="8"/>
      <c r="AG91" s="8"/>
      <c r="AH91" s="8"/>
      <c r="AI91" s="8"/>
      <c r="AJ91" s="8"/>
      <c r="AK91" s="8"/>
      <c r="AL91" s="8"/>
      <c r="AM91" s="8"/>
    </row>
    <row r="92" spans="1:39" ht="49.9" customHeight="1" x14ac:dyDescent="0.3">
      <c r="A92" s="5" t="s">
        <v>244</v>
      </c>
      <c r="B92" s="5" t="s">
        <v>253</v>
      </c>
      <c r="C92" s="6">
        <v>662187501949</v>
      </c>
      <c r="D92" s="7" t="s">
        <v>258</v>
      </c>
      <c r="F92" s="5" t="str">
        <f t="shared" si="2"/>
        <v>IK-T5G0B-04-F0024-MV-D-40K-UD-00-WH-BFU-SC</v>
      </c>
      <c r="G92" s="8" t="s">
        <v>8</v>
      </c>
      <c r="H92" s="8" t="s">
        <v>7</v>
      </c>
      <c r="I92" s="8" t="s">
        <v>235</v>
      </c>
      <c r="J92" s="8" t="s">
        <v>231</v>
      </c>
      <c r="K92" s="8" t="s">
        <v>7</v>
      </c>
      <c r="L92" s="9" t="s">
        <v>32</v>
      </c>
      <c r="M92" s="8" t="s">
        <v>7</v>
      </c>
      <c r="N92" s="8" t="s">
        <v>35</v>
      </c>
      <c r="O92" s="8" t="s">
        <v>139</v>
      </c>
      <c r="P92" s="8" t="s">
        <v>7</v>
      </c>
      <c r="Q92" s="8" t="s">
        <v>10</v>
      </c>
      <c r="R92" s="8" t="s">
        <v>7</v>
      </c>
      <c r="S92" s="8" t="s">
        <v>11</v>
      </c>
      <c r="T92" s="8" t="s">
        <v>7</v>
      </c>
      <c r="U92" s="8" t="s">
        <v>41</v>
      </c>
      <c r="V92" s="8" t="s">
        <v>7</v>
      </c>
      <c r="W92" s="8" t="s">
        <v>48</v>
      </c>
      <c r="X92" s="8" t="s">
        <v>7</v>
      </c>
      <c r="Y92" s="10" t="s">
        <v>134</v>
      </c>
      <c r="Z92" s="8" t="s">
        <v>7</v>
      </c>
      <c r="AA92" s="8" t="s">
        <v>49</v>
      </c>
      <c r="AB92" s="8" t="s">
        <v>7</v>
      </c>
      <c r="AC92" s="8" t="s">
        <v>15</v>
      </c>
      <c r="AD92" s="8" t="s">
        <v>7</v>
      </c>
      <c r="AE92" s="8" t="s">
        <v>251</v>
      </c>
      <c r="AF92" s="8"/>
      <c r="AG92" s="8"/>
      <c r="AH92" s="8"/>
      <c r="AI92" s="8"/>
      <c r="AJ92" s="8"/>
      <c r="AK92" s="8"/>
      <c r="AL92" s="8"/>
      <c r="AM92" s="8"/>
    </row>
    <row r="93" spans="1:39" ht="49.9" customHeight="1" x14ac:dyDescent="0.3">
      <c r="A93" s="5" t="s">
        <v>244</v>
      </c>
      <c r="B93" s="5" t="s">
        <v>253</v>
      </c>
      <c r="C93" s="6">
        <v>662187507507</v>
      </c>
      <c r="D93" s="7" t="s">
        <v>257</v>
      </c>
      <c r="F93" s="5" t="str">
        <f t="shared" si="2"/>
        <v>IK-T8G0B-02-F0008-MV-D-40K-UD-00-WH-BFU-SF</v>
      </c>
      <c r="G93" s="8" t="s">
        <v>8</v>
      </c>
      <c r="H93" s="8" t="s">
        <v>7</v>
      </c>
      <c r="I93" s="8" t="s">
        <v>234</v>
      </c>
      <c r="J93" s="8" t="s">
        <v>231</v>
      </c>
      <c r="K93" s="8" t="s">
        <v>7</v>
      </c>
      <c r="L93" s="9" t="s">
        <v>9</v>
      </c>
      <c r="M93" s="8" t="s">
        <v>7</v>
      </c>
      <c r="N93" s="8" t="s">
        <v>35</v>
      </c>
      <c r="O93" s="8" t="s">
        <v>56</v>
      </c>
      <c r="P93" s="8" t="s">
        <v>7</v>
      </c>
      <c r="Q93" s="8" t="s">
        <v>10</v>
      </c>
      <c r="R93" s="8" t="s">
        <v>7</v>
      </c>
      <c r="S93" s="8" t="s">
        <v>11</v>
      </c>
      <c r="T93" s="8" t="s">
        <v>7</v>
      </c>
      <c r="U93" s="8" t="s">
        <v>41</v>
      </c>
      <c r="V93" s="8" t="s">
        <v>7</v>
      </c>
      <c r="W93" s="8" t="s">
        <v>48</v>
      </c>
      <c r="X93" s="8" t="s">
        <v>7</v>
      </c>
      <c r="Y93" s="10" t="s">
        <v>134</v>
      </c>
      <c r="Z93" s="8" t="s">
        <v>7</v>
      </c>
      <c r="AA93" s="8" t="s">
        <v>49</v>
      </c>
      <c r="AB93" s="8" t="s">
        <v>7</v>
      </c>
      <c r="AC93" s="8" t="s">
        <v>15</v>
      </c>
      <c r="AD93" s="8" t="s">
        <v>7</v>
      </c>
      <c r="AE93" s="8" t="s">
        <v>252</v>
      </c>
      <c r="AF93" s="8"/>
      <c r="AG93" s="8"/>
      <c r="AH93" s="8"/>
      <c r="AI93" s="8"/>
      <c r="AJ93" s="8"/>
      <c r="AK93" s="8"/>
      <c r="AL93" s="8"/>
      <c r="AM93" s="8"/>
    </row>
    <row r="94" spans="1:39" ht="49.9" customHeight="1" x14ac:dyDescent="0.3">
      <c r="A94" s="5" t="s">
        <v>244</v>
      </c>
      <c r="B94" s="5" t="s">
        <v>253</v>
      </c>
      <c r="C94" s="6">
        <v>662187507521</v>
      </c>
      <c r="D94" s="7" t="s">
        <v>259</v>
      </c>
      <c r="F94" s="5" t="str">
        <f t="shared" si="2"/>
        <v>IK-T8G0B-03-F0012-MV-D-40K-UD-00-WH-BFU-SF</v>
      </c>
      <c r="G94" s="8" t="s">
        <v>8</v>
      </c>
      <c r="H94" s="8" t="s">
        <v>7</v>
      </c>
      <c r="I94" s="8" t="s">
        <v>234</v>
      </c>
      <c r="J94" s="8" t="s">
        <v>231</v>
      </c>
      <c r="K94" s="8" t="s">
        <v>7</v>
      </c>
      <c r="L94" s="9" t="s">
        <v>34</v>
      </c>
      <c r="M94" s="8" t="s">
        <v>7</v>
      </c>
      <c r="N94" s="8" t="s">
        <v>35</v>
      </c>
      <c r="O94" s="8" t="s">
        <v>58</v>
      </c>
      <c r="P94" s="8" t="s">
        <v>7</v>
      </c>
      <c r="Q94" s="8" t="s">
        <v>10</v>
      </c>
      <c r="R94" s="8" t="s">
        <v>7</v>
      </c>
      <c r="S94" s="8" t="s">
        <v>11</v>
      </c>
      <c r="T94" s="8" t="s">
        <v>7</v>
      </c>
      <c r="U94" s="8" t="s">
        <v>41</v>
      </c>
      <c r="V94" s="8" t="s">
        <v>7</v>
      </c>
      <c r="W94" s="8" t="s">
        <v>48</v>
      </c>
      <c r="X94" s="8" t="s">
        <v>7</v>
      </c>
      <c r="Y94" s="10" t="s">
        <v>134</v>
      </c>
      <c r="Z94" s="8" t="s">
        <v>7</v>
      </c>
      <c r="AA94" s="8" t="s">
        <v>49</v>
      </c>
      <c r="AB94" s="8" t="s">
        <v>7</v>
      </c>
      <c r="AC94" s="8" t="s">
        <v>15</v>
      </c>
      <c r="AD94" s="8" t="s">
        <v>7</v>
      </c>
      <c r="AE94" s="8" t="s">
        <v>252</v>
      </c>
      <c r="AF94" s="8"/>
      <c r="AG94" s="8"/>
      <c r="AH94" s="8"/>
      <c r="AI94" s="8"/>
      <c r="AJ94" s="8"/>
      <c r="AK94" s="8"/>
      <c r="AL94" s="8"/>
      <c r="AM94" s="8"/>
    </row>
    <row r="95" spans="1:39" ht="49.9" customHeight="1" x14ac:dyDescent="0.3">
      <c r="A95" s="5" t="s">
        <v>244</v>
      </c>
      <c r="B95" s="5" t="s">
        <v>253</v>
      </c>
      <c r="C95" s="6">
        <v>662187501840</v>
      </c>
      <c r="D95" s="7" t="s">
        <v>260</v>
      </c>
      <c r="F95" s="5" t="str">
        <f t="shared" si="2"/>
        <v>IK-T8G0B-04-F0012-MV-D-40K-UD-00-WH-BFU-SF</v>
      </c>
      <c r="G95" s="8" t="s">
        <v>8</v>
      </c>
      <c r="H95" s="8" t="s">
        <v>7</v>
      </c>
      <c r="I95" s="8" t="s">
        <v>234</v>
      </c>
      <c r="J95" s="8" t="s">
        <v>231</v>
      </c>
      <c r="K95" s="8" t="s">
        <v>7</v>
      </c>
      <c r="L95" s="9" t="s">
        <v>32</v>
      </c>
      <c r="M95" s="8" t="s">
        <v>7</v>
      </c>
      <c r="N95" s="8" t="s">
        <v>35</v>
      </c>
      <c r="O95" s="8" t="s">
        <v>58</v>
      </c>
      <c r="P95" s="8" t="s">
        <v>7</v>
      </c>
      <c r="Q95" s="8" t="s">
        <v>10</v>
      </c>
      <c r="R95" s="8" t="s">
        <v>7</v>
      </c>
      <c r="S95" s="8" t="s">
        <v>11</v>
      </c>
      <c r="T95" s="8" t="s">
        <v>7</v>
      </c>
      <c r="U95" s="8" t="s">
        <v>41</v>
      </c>
      <c r="V95" s="8" t="s">
        <v>7</v>
      </c>
      <c r="W95" s="8" t="s">
        <v>48</v>
      </c>
      <c r="X95" s="8" t="s">
        <v>7</v>
      </c>
      <c r="Y95" s="10" t="s">
        <v>134</v>
      </c>
      <c r="Z95" s="8" t="s">
        <v>7</v>
      </c>
      <c r="AA95" s="8" t="s">
        <v>49</v>
      </c>
      <c r="AB95" s="8" t="s">
        <v>7</v>
      </c>
      <c r="AC95" s="8" t="s">
        <v>15</v>
      </c>
      <c r="AD95" s="8" t="s">
        <v>7</v>
      </c>
      <c r="AE95" s="8" t="s">
        <v>252</v>
      </c>
      <c r="AF95" s="8"/>
      <c r="AG95" s="8"/>
      <c r="AH95" s="8"/>
      <c r="AI95" s="8"/>
      <c r="AJ95" s="8"/>
      <c r="AK95" s="8"/>
      <c r="AL95" s="8"/>
      <c r="AM95" s="8"/>
    </row>
    <row r="96" spans="1:39" ht="49.9" customHeight="1" x14ac:dyDescent="0.3">
      <c r="A96" s="5" t="s">
        <v>244</v>
      </c>
      <c r="B96" s="5" t="s">
        <v>253</v>
      </c>
      <c r="C96" s="6">
        <v>662187507538</v>
      </c>
      <c r="D96" s="7" t="s">
        <v>262</v>
      </c>
      <c r="F96" s="5" t="str">
        <f t="shared" si="2"/>
        <v>IK-T8G0B-04-F0018-MV-D-40K-UD-00-WH-BFU-SF</v>
      </c>
      <c r="G96" s="8" t="s">
        <v>8</v>
      </c>
      <c r="H96" s="8" t="s">
        <v>7</v>
      </c>
      <c r="I96" s="8" t="s">
        <v>234</v>
      </c>
      <c r="J96" s="8" t="s">
        <v>231</v>
      </c>
      <c r="K96" s="8" t="s">
        <v>7</v>
      </c>
      <c r="L96" s="9" t="s">
        <v>32</v>
      </c>
      <c r="M96" s="8" t="s">
        <v>7</v>
      </c>
      <c r="N96" s="8" t="s">
        <v>35</v>
      </c>
      <c r="O96" s="8" t="s">
        <v>60</v>
      </c>
      <c r="P96" s="8" t="s">
        <v>7</v>
      </c>
      <c r="Q96" s="8" t="s">
        <v>10</v>
      </c>
      <c r="R96" s="8" t="s">
        <v>7</v>
      </c>
      <c r="S96" s="8" t="s">
        <v>11</v>
      </c>
      <c r="T96" s="8" t="s">
        <v>7</v>
      </c>
      <c r="U96" s="8" t="s">
        <v>41</v>
      </c>
      <c r="V96" s="8" t="s">
        <v>7</v>
      </c>
      <c r="W96" s="8" t="s">
        <v>48</v>
      </c>
      <c r="X96" s="8" t="s">
        <v>7</v>
      </c>
      <c r="Y96" s="10" t="s">
        <v>134</v>
      </c>
      <c r="Z96" s="8" t="s">
        <v>7</v>
      </c>
      <c r="AA96" s="8" t="s">
        <v>49</v>
      </c>
      <c r="AB96" s="8" t="s">
        <v>7</v>
      </c>
      <c r="AC96" s="8" t="s">
        <v>15</v>
      </c>
      <c r="AD96" s="8" t="s">
        <v>7</v>
      </c>
      <c r="AE96" s="8" t="s">
        <v>252</v>
      </c>
      <c r="AF96" s="8"/>
      <c r="AG96" s="8"/>
      <c r="AH96" s="8"/>
      <c r="AI96" s="8"/>
      <c r="AJ96" s="8"/>
      <c r="AK96" s="8"/>
      <c r="AL96" s="8"/>
      <c r="AM96" s="8"/>
    </row>
    <row r="97" spans="1:39" ht="49.9" customHeight="1" x14ac:dyDescent="0.3">
      <c r="A97" s="5" t="s">
        <v>244</v>
      </c>
      <c r="B97" s="5" t="s">
        <v>253</v>
      </c>
      <c r="C97" s="6">
        <v>662187501871</v>
      </c>
      <c r="D97" s="7" t="s">
        <v>261</v>
      </c>
      <c r="F97" s="5" t="str">
        <f t="shared" si="2"/>
        <v>IK-T8G0B-04-F0018-MV-D-40K-UD-00-WH-BFU-SC</v>
      </c>
      <c r="G97" s="8" t="s">
        <v>8</v>
      </c>
      <c r="H97" s="8" t="s">
        <v>7</v>
      </c>
      <c r="I97" s="8" t="s">
        <v>234</v>
      </c>
      <c r="J97" s="8" t="s">
        <v>231</v>
      </c>
      <c r="K97" s="8" t="s">
        <v>7</v>
      </c>
      <c r="L97" s="9" t="s">
        <v>32</v>
      </c>
      <c r="M97" s="8" t="s">
        <v>7</v>
      </c>
      <c r="N97" s="8" t="s">
        <v>35</v>
      </c>
      <c r="O97" s="8" t="s">
        <v>60</v>
      </c>
      <c r="P97" s="8" t="s">
        <v>7</v>
      </c>
      <c r="Q97" s="8" t="s">
        <v>10</v>
      </c>
      <c r="R97" s="8" t="s">
        <v>7</v>
      </c>
      <c r="S97" s="8" t="s">
        <v>11</v>
      </c>
      <c r="T97" s="8" t="s">
        <v>7</v>
      </c>
      <c r="U97" s="8" t="s">
        <v>41</v>
      </c>
      <c r="V97" s="8" t="s">
        <v>7</v>
      </c>
      <c r="W97" s="8" t="s">
        <v>48</v>
      </c>
      <c r="X97" s="8" t="s">
        <v>7</v>
      </c>
      <c r="Y97" s="10" t="s">
        <v>134</v>
      </c>
      <c r="Z97" s="8" t="s">
        <v>7</v>
      </c>
      <c r="AA97" s="8" t="s">
        <v>49</v>
      </c>
      <c r="AB97" s="8" t="s">
        <v>7</v>
      </c>
      <c r="AC97" s="8" t="s">
        <v>15</v>
      </c>
      <c r="AD97" s="8" t="s">
        <v>7</v>
      </c>
      <c r="AE97" s="8" t="s">
        <v>251</v>
      </c>
      <c r="AF97" s="8"/>
      <c r="AG97" s="8"/>
      <c r="AH97" s="8"/>
      <c r="AI97" s="8"/>
      <c r="AJ97" s="8"/>
      <c r="AK97" s="8"/>
      <c r="AL97" s="8"/>
      <c r="AM97" s="8"/>
    </row>
    <row r="98" spans="1:39" ht="49.9" customHeight="1" x14ac:dyDescent="0.3">
      <c r="A98" s="5" t="s">
        <v>244</v>
      </c>
      <c r="B98" s="5" t="s">
        <v>253</v>
      </c>
      <c r="D98" s="7" t="s">
        <v>264</v>
      </c>
      <c r="F98" s="5" t="str">
        <f t="shared" si="2"/>
        <v>IK-T8G0B-04-F0009-MV-D-50K-UD-00-WH-BFU-SF</v>
      </c>
      <c r="G98" s="8" t="s">
        <v>8</v>
      </c>
      <c r="H98" s="8" t="s">
        <v>7</v>
      </c>
      <c r="I98" s="8" t="s">
        <v>234</v>
      </c>
      <c r="J98" s="8" t="s">
        <v>231</v>
      </c>
      <c r="K98" s="8" t="s">
        <v>7</v>
      </c>
      <c r="L98" s="9" t="s">
        <v>32</v>
      </c>
      <c r="M98" s="8" t="s">
        <v>7</v>
      </c>
      <c r="N98" s="8" t="s">
        <v>35</v>
      </c>
      <c r="O98" s="8" t="s">
        <v>137</v>
      </c>
      <c r="P98" s="8" t="s">
        <v>7</v>
      </c>
      <c r="Q98" s="8" t="s">
        <v>10</v>
      </c>
      <c r="R98" s="8" t="s">
        <v>7</v>
      </c>
      <c r="S98" s="8" t="s">
        <v>11</v>
      </c>
      <c r="T98" s="8" t="s">
        <v>7</v>
      </c>
      <c r="U98" s="8" t="s">
        <v>43</v>
      </c>
      <c r="V98" s="8" t="s">
        <v>7</v>
      </c>
      <c r="W98" s="8" t="s">
        <v>48</v>
      </c>
      <c r="X98" s="8" t="s">
        <v>7</v>
      </c>
      <c r="Y98" s="10" t="s">
        <v>134</v>
      </c>
      <c r="Z98" s="8" t="s">
        <v>7</v>
      </c>
      <c r="AA98" s="8" t="s">
        <v>49</v>
      </c>
      <c r="AB98" s="8" t="s">
        <v>7</v>
      </c>
      <c r="AC98" s="8" t="s">
        <v>15</v>
      </c>
      <c r="AD98" s="8" t="s">
        <v>7</v>
      </c>
      <c r="AE98" s="8" t="s">
        <v>252</v>
      </c>
      <c r="AF98" s="8"/>
      <c r="AG98" s="8"/>
      <c r="AH98" s="8"/>
      <c r="AI98" s="8"/>
      <c r="AJ98" s="8"/>
      <c r="AK98" s="8"/>
      <c r="AL98" s="8"/>
      <c r="AM98" s="8"/>
    </row>
    <row r="99" spans="1:39" ht="49.9" customHeight="1" x14ac:dyDescent="0.3">
      <c r="A99" s="5" t="s">
        <v>244</v>
      </c>
      <c r="B99" s="5" t="s">
        <v>400</v>
      </c>
      <c r="D99" s="7" t="s">
        <v>401</v>
      </c>
      <c r="F99" s="5" t="str">
        <f t="shared" si="2"/>
        <v>IK-T8UBG0B-02-F0015-MV-D-CCT-UD-00-WH-BFU-SF</v>
      </c>
      <c r="G99" s="8" t="s">
        <v>8</v>
      </c>
      <c r="H99" s="8" t="s">
        <v>7</v>
      </c>
      <c r="I99" s="8" t="s">
        <v>403</v>
      </c>
      <c r="J99" s="8" t="s">
        <v>231</v>
      </c>
      <c r="K99" s="8" t="s">
        <v>7</v>
      </c>
      <c r="L99" s="9" t="s">
        <v>9</v>
      </c>
      <c r="M99" s="8" t="s">
        <v>7</v>
      </c>
      <c r="N99" s="8" t="s">
        <v>35</v>
      </c>
      <c r="O99" s="8" t="s">
        <v>59</v>
      </c>
      <c r="P99" s="8" t="s">
        <v>7</v>
      </c>
      <c r="Q99" s="8" t="s">
        <v>10</v>
      </c>
      <c r="R99" s="8" t="s">
        <v>7</v>
      </c>
      <c r="S99" s="8" t="s">
        <v>11</v>
      </c>
      <c r="T99" s="8" t="s">
        <v>7</v>
      </c>
      <c r="U99" s="8" t="s">
        <v>12</v>
      </c>
      <c r="V99" s="8" t="s">
        <v>7</v>
      </c>
      <c r="W99" s="8" t="s">
        <v>48</v>
      </c>
      <c r="X99" s="8" t="s">
        <v>7</v>
      </c>
      <c r="Y99" s="10" t="s">
        <v>134</v>
      </c>
      <c r="Z99" s="8" t="s">
        <v>7</v>
      </c>
      <c r="AA99" s="8" t="s">
        <v>49</v>
      </c>
      <c r="AB99" s="8" t="s">
        <v>7</v>
      </c>
      <c r="AC99" s="8" t="s">
        <v>15</v>
      </c>
      <c r="AD99" s="8" t="s">
        <v>7</v>
      </c>
      <c r="AE99" s="8" t="s">
        <v>252</v>
      </c>
      <c r="AF99" s="8"/>
      <c r="AG99" s="8"/>
      <c r="AH99" s="8"/>
      <c r="AI99" s="8"/>
      <c r="AJ99" s="8"/>
      <c r="AK99" s="8"/>
      <c r="AL99" s="8"/>
      <c r="AM99" s="8"/>
    </row>
    <row r="100" spans="1:39" ht="49.9" customHeight="1" x14ac:dyDescent="0.3">
      <c r="A100" s="5" t="s">
        <v>244</v>
      </c>
      <c r="B100" s="5" t="s">
        <v>404</v>
      </c>
      <c r="D100" s="7" t="s">
        <v>405</v>
      </c>
      <c r="F100" s="5" t="str">
        <f t="shared" si="2"/>
        <v>IK-T8G0B-04-F0008.9-MV-D-CCT-UD-00-WH-BFU-SF</v>
      </c>
      <c r="G100" s="8" t="s">
        <v>8</v>
      </c>
      <c r="H100" s="8" t="s">
        <v>7</v>
      </c>
      <c r="I100" s="8" t="s">
        <v>234</v>
      </c>
      <c r="J100" s="8" t="s">
        <v>231</v>
      </c>
      <c r="K100" s="8" t="s">
        <v>7</v>
      </c>
      <c r="L100" s="9" t="s">
        <v>32</v>
      </c>
      <c r="M100" s="8" t="s">
        <v>7</v>
      </c>
      <c r="N100" s="8" t="s">
        <v>35</v>
      </c>
      <c r="O100" s="8" t="s">
        <v>406</v>
      </c>
      <c r="P100" s="8" t="s">
        <v>7</v>
      </c>
      <c r="Q100" s="8" t="s">
        <v>10</v>
      </c>
      <c r="R100" s="8" t="s">
        <v>7</v>
      </c>
      <c r="S100" s="8" t="s">
        <v>11</v>
      </c>
      <c r="T100" s="8" t="s">
        <v>7</v>
      </c>
      <c r="U100" s="8" t="s">
        <v>12</v>
      </c>
      <c r="V100" s="8" t="s">
        <v>7</v>
      </c>
      <c r="W100" s="8" t="s">
        <v>48</v>
      </c>
      <c r="X100" s="8" t="s">
        <v>7</v>
      </c>
      <c r="Y100" s="10" t="s">
        <v>134</v>
      </c>
      <c r="Z100" s="8" t="s">
        <v>7</v>
      </c>
      <c r="AA100" s="8" t="s">
        <v>49</v>
      </c>
      <c r="AB100" s="8" t="s">
        <v>7</v>
      </c>
      <c r="AC100" s="8" t="s">
        <v>15</v>
      </c>
      <c r="AD100" s="8" t="s">
        <v>7</v>
      </c>
      <c r="AE100" s="8" t="s">
        <v>252</v>
      </c>
      <c r="AF100" s="8"/>
      <c r="AG100" s="8"/>
      <c r="AH100" s="8"/>
      <c r="AI100" s="8"/>
      <c r="AJ100" s="8"/>
      <c r="AK100" s="8"/>
      <c r="AL100" s="8"/>
      <c r="AM100" s="8"/>
    </row>
    <row r="101" spans="1:39" ht="49.9" customHeight="1" x14ac:dyDescent="0.3">
      <c r="A101" s="5" t="s">
        <v>244</v>
      </c>
      <c r="B101" s="5" t="s">
        <v>404</v>
      </c>
      <c r="D101" s="7" t="s">
        <v>579</v>
      </c>
      <c r="F101" s="5" t="str">
        <f t="shared" si="2"/>
        <v>IK-T8G0B-08-F0042-MV-D-CCT-UD-00-WH-BFU-SF</v>
      </c>
      <c r="G101" s="8" t="s">
        <v>8</v>
      </c>
      <c r="H101" s="8" t="s">
        <v>7</v>
      </c>
      <c r="I101" s="8" t="s">
        <v>234</v>
      </c>
      <c r="J101" s="8" t="s">
        <v>231</v>
      </c>
      <c r="K101" s="8" t="s">
        <v>7</v>
      </c>
      <c r="L101" s="9" t="s">
        <v>124</v>
      </c>
      <c r="M101" s="8" t="s">
        <v>7</v>
      </c>
      <c r="N101" s="8" t="s">
        <v>35</v>
      </c>
      <c r="O101" s="8" t="s">
        <v>580</v>
      </c>
      <c r="P101" s="8" t="s">
        <v>7</v>
      </c>
      <c r="Q101" s="8" t="s">
        <v>10</v>
      </c>
      <c r="R101" s="8" t="s">
        <v>7</v>
      </c>
      <c r="S101" s="8" t="s">
        <v>11</v>
      </c>
      <c r="T101" s="8" t="s">
        <v>7</v>
      </c>
      <c r="U101" s="8" t="s">
        <v>12</v>
      </c>
      <c r="V101" s="8" t="s">
        <v>7</v>
      </c>
      <c r="W101" s="8" t="s">
        <v>48</v>
      </c>
      <c r="X101" s="8" t="s">
        <v>7</v>
      </c>
      <c r="Y101" s="10" t="s">
        <v>134</v>
      </c>
      <c r="Z101" s="8" t="s">
        <v>7</v>
      </c>
      <c r="AA101" s="8" t="s">
        <v>49</v>
      </c>
      <c r="AB101" s="8" t="s">
        <v>7</v>
      </c>
      <c r="AC101" s="8" t="s">
        <v>15</v>
      </c>
      <c r="AD101" s="8" t="s">
        <v>7</v>
      </c>
      <c r="AE101" s="8" t="s">
        <v>252</v>
      </c>
      <c r="AF101" s="8"/>
      <c r="AG101" s="8"/>
      <c r="AH101" s="8"/>
      <c r="AI101" s="8"/>
      <c r="AJ101" s="8"/>
      <c r="AK101" s="8"/>
      <c r="AL101" s="8"/>
      <c r="AM101" s="8"/>
    </row>
    <row r="102" spans="1:39" ht="49.9" customHeight="1" x14ac:dyDescent="0.3">
      <c r="A102" s="5" t="s">
        <v>244</v>
      </c>
      <c r="B102" s="5" t="s">
        <v>270</v>
      </c>
      <c r="C102" s="6">
        <v>662187501901</v>
      </c>
      <c r="D102" s="7" t="s">
        <v>263</v>
      </c>
      <c r="F102" s="5" t="str">
        <f t="shared" si="2"/>
        <v>IK-T8A0B-04-F0015-MV-D-CCT-UD-00-WH-BFU-SFEM2y</v>
      </c>
      <c r="G102" s="8" t="s">
        <v>8</v>
      </c>
      <c r="H102" s="8" t="s">
        <v>7</v>
      </c>
      <c r="I102" s="8" t="s">
        <v>232</v>
      </c>
      <c r="J102" s="8" t="s">
        <v>231</v>
      </c>
      <c r="K102" s="8" t="s">
        <v>7</v>
      </c>
      <c r="L102" s="9" t="s">
        <v>32</v>
      </c>
      <c r="M102" s="8" t="s">
        <v>7</v>
      </c>
      <c r="N102" s="8" t="s">
        <v>35</v>
      </c>
      <c r="O102" s="8" t="s">
        <v>59</v>
      </c>
      <c r="P102" s="8" t="s">
        <v>7</v>
      </c>
      <c r="Q102" s="8" t="s">
        <v>10</v>
      </c>
      <c r="R102" s="8" t="s">
        <v>7</v>
      </c>
      <c r="S102" s="8" t="s">
        <v>11</v>
      </c>
      <c r="T102" s="8" t="s">
        <v>7</v>
      </c>
      <c r="U102" s="8" t="s">
        <v>12</v>
      </c>
      <c r="V102" s="8" t="s">
        <v>7</v>
      </c>
      <c r="W102" s="8" t="s">
        <v>48</v>
      </c>
      <c r="X102" s="8" t="s">
        <v>7</v>
      </c>
      <c r="Y102" s="10" t="s">
        <v>134</v>
      </c>
      <c r="Z102" s="8" t="s">
        <v>7</v>
      </c>
      <c r="AA102" s="8" t="s">
        <v>49</v>
      </c>
      <c r="AB102" s="8" t="s">
        <v>7</v>
      </c>
      <c r="AC102" s="8" t="s">
        <v>15</v>
      </c>
      <c r="AD102" s="8" t="s">
        <v>7</v>
      </c>
      <c r="AE102" s="8" t="s">
        <v>252</v>
      </c>
      <c r="AF102" s="8" t="s">
        <v>266</v>
      </c>
      <c r="AG102" s="8" t="s">
        <v>353</v>
      </c>
      <c r="AH102" s="8"/>
      <c r="AI102" s="8"/>
      <c r="AJ102" s="8"/>
      <c r="AK102" s="8"/>
      <c r="AL102" s="8"/>
      <c r="AM102" s="8"/>
    </row>
    <row r="103" spans="1:39" ht="49.9" customHeight="1" x14ac:dyDescent="0.3">
      <c r="A103" s="5" t="s">
        <v>244</v>
      </c>
      <c r="B103" s="5" t="s">
        <v>270</v>
      </c>
      <c r="D103" s="7" t="s">
        <v>269</v>
      </c>
      <c r="F103" s="5" t="str">
        <f t="shared" si="2"/>
        <v>IK-T8A0B-04-F0015-MV-D-CCT-UD-00-WH-BFU-SFEM5y</v>
      </c>
      <c r="G103" s="8" t="s">
        <v>8</v>
      </c>
      <c r="H103" s="8" t="s">
        <v>7</v>
      </c>
      <c r="I103" s="8" t="s">
        <v>232</v>
      </c>
      <c r="J103" s="8" t="s">
        <v>231</v>
      </c>
      <c r="K103" s="8" t="s">
        <v>7</v>
      </c>
      <c r="L103" s="9" t="s">
        <v>32</v>
      </c>
      <c r="M103" s="8" t="s">
        <v>7</v>
      </c>
      <c r="N103" s="8" t="s">
        <v>35</v>
      </c>
      <c r="O103" s="8" t="s">
        <v>59</v>
      </c>
      <c r="P103" s="8" t="s">
        <v>7</v>
      </c>
      <c r="Q103" s="8" t="s">
        <v>10</v>
      </c>
      <c r="R103" s="8" t="s">
        <v>7</v>
      </c>
      <c r="S103" s="8" t="s">
        <v>11</v>
      </c>
      <c r="T103" s="8" t="s">
        <v>7</v>
      </c>
      <c r="U103" s="8" t="s">
        <v>12</v>
      </c>
      <c r="V103" s="8" t="s">
        <v>7</v>
      </c>
      <c r="W103" s="8" t="s">
        <v>48</v>
      </c>
      <c r="X103" s="8" t="s">
        <v>7</v>
      </c>
      <c r="Y103" s="10" t="s">
        <v>134</v>
      </c>
      <c r="Z103" s="8" t="s">
        <v>7</v>
      </c>
      <c r="AA103" s="8" t="s">
        <v>49</v>
      </c>
      <c r="AB103" s="8" t="s">
        <v>7</v>
      </c>
      <c r="AC103" s="8" t="s">
        <v>15</v>
      </c>
      <c r="AD103" s="8" t="s">
        <v>7</v>
      </c>
      <c r="AE103" s="8" t="s">
        <v>252</v>
      </c>
      <c r="AF103" s="8" t="s">
        <v>267</v>
      </c>
      <c r="AG103" s="8" t="s">
        <v>353</v>
      </c>
      <c r="AH103" s="8"/>
      <c r="AI103" s="8"/>
      <c r="AJ103" s="8"/>
      <c r="AK103" s="8"/>
      <c r="AL103" s="8"/>
      <c r="AM103" s="8"/>
    </row>
    <row r="104" spans="1:39" ht="49.9" customHeight="1" x14ac:dyDescent="0.3">
      <c r="A104" s="5" t="s">
        <v>244</v>
      </c>
      <c r="B104" s="5" t="s">
        <v>552</v>
      </c>
      <c r="D104" s="7" t="s">
        <v>553</v>
      </c>
      <c r="F104" s="5" t="str">
        <f t="shared" si="2"/>
        <v>IK-T5AAB-04-F0015-MV-D-40K-UD-00-WH-BFU-SF</v>
      </c>
      <c r="G104" s="8" t="s">
        <v>8</v>
      </c>
      <c r="H104" s="8" t="s">
        <v>7</v>
      </c>
      <c r="I104" s="8" t="s">
        <v>233</v>
      </c>
      <c r="J104" s="8" t="s">
        <v>221</v>
      </c>
      <c r="K104" s="8" t="s">
        <v>7</v>
      </c>
      <c r="L104" s="9" t="s">
        <v>32</v>
      </c>
      <c r="M104" s="8" t="s">
        <v>7</v>
      </c>
      <c r="N104" s="8" t="s">
        <v>35</v>
      </c>
      <c r="O104" s="8" t="s">
        <v>59</v>
      </c>
      <c r="P104" s="8" t="s">
        <v>7</v>
      </c>
      <c r="Q104" s="8" t="s">
        <v>10</v>
      </c>
      <c r="R104" s="8" t="s">
        <v>7</v>
      </c>
      <c r="S104" s="8" t="s">
        <v>11</v>
      </c>
      <c r="T104" s="8" t="s">
        <v>7</v>
      </c>
      <c r="U104" s="8" t="s">
        <v>41</v>
      </c>
      <c r="V104" s="8" t="s">
        <v>7</v>
      </c>
      <c r="W104" s="8" t="s">
        <v>48</v>
      </c>
      <c r="X104" s="8" t="s">
        <v>7</v>
      </c>
      <c r="Y104" s="10" t="s">
        <v>134</v>
      </c>
      <c r="Z104" s="8" t="s">
        <v>7</v>
      </c>
      <c r="AA104" s="8" t="s">
        <v>49</v>
      </c>
      <c r="AB104" s="8" t="s">
        <v>7</v>
      </c>
      <c r="AC104" s="8" t="s">
        <v>15</v>
      </c>
      <c r="AD104" s="8" t="s">
        <v>7</v>
      </c>
      <c r="AE104" s="8" t="s">
        <v>252</v>
      </c>
      <c r="AF104" s="8"/>
      <c r="AG104" s="8"/>
      <c r="AH104" s="8"/>
      <c r="AI104" s="8"/>
      <c r="AJ104" s="8"/>
      <c r="AK104" s="8"/>
      <c r="AL104" s="8"/>
      <c r="AM104" s="8"/>
    </row>
    <row r="105" spans="1:39" ht="49.9" customHeight="1" x14ac:dyDescent="0.3">
      <c r="A105" s="5" t="s">
        <v>244</v>
      </c>
      <c r="B105" s="5" t="s">
        <v>552</v>
      </c>
      <c r="C105" s="70">
        <v>662187484471</v>
      </c>
      <c r="D105" s="7" t="s">
        <v>585</v>
      </c>
      <c r="F105" s="5" t="str">
        <f t="shared" si="2"/>
        <v>IK-T8A0B-02-F0009-MV-D-40K-UD-00-WH-BFU-SF</v>
      </c>
      <c r="G105" s="8" t="s">
        <v>8</v>
      </c>
      <c r="H105" s="8" t="s">
        <v>7</v>
      </c>
      <c r="I105" s="8" t="s">
        <v>232</v>
      </c>
      <c r="J105" s="8" t="s">
        <v>231</v>
      </c>
      <c r="K105" s="8" t="s">
        <v>7</v>
      </c>
      <c r="L105" s="9" t="s">
        <v>9</v>
      </c>
      <c r="M105" s="8" t="s">
        <v>7</v>
      </c>
      <c r="N105" s="8" t="s">
        <v>35</v>
      </c>
      <c r="O105" s="8" t="s">
        <v>137</v>
      </c>
      <c r="P105" s="8" t="s">
        <v>7</v>
      </c>
      <c r="Q105" s="8" t="s">
        <v>10</v>
      </c>
      <c r="R105" s="8" t="s">
        <v>7</v>
      </c>
      <c r="S105" s="8" t="s">
        <v>11</v>
      </c>
      <c r="T105" s="8" t="s">
        <v>7</v>
      </c>
      <c r="U105" s="8" t="s">
        <v>41</v>
      </c>
      <c r="V105" s="8" t="s">
        <v>7</v>
      </c>
      <c r="W105" s="8" t="s">
        <v>48</v>
      </c>
      <c r="X105" s="8" t="s">
        <v>7</v>
      </c>
      <c r="Y105" s="10" t="s">
        <v>134</v>
      </c>
      <c r="Z105" s="8" t="s">
        <v>7</v>
      </c>
      <c r="AA105" s="8" t="s">
        <v>49</v>
      </c>
      <c r="AB105" s="8" t="s">
        <v>7</v>
      </c>
      <c r="AC105" s="8" t="s">
        <v>15</v>
      </c>
      <c r="AD105" s="8" t="s">
        <v>7</v>
      </c>
      <c r="AE105" s="8" t="s">
        <v>252</v>
      </c>
      <c r="AF105" s="8"/>
      <c r="AG105" s="8"/>
      <c r="AH105" s="8"/>
      <c r="AI105" s="8"/>
      <c r="AJ105" s="8"/>
      <c r="AK105" s="8"/>
      <c r="AL105" s="8"/>
      <c r="AM105" s="8"/>
    </row>
    <row r="106" spans="1:39" ht="49.9" customHeight="1" x14ac:dyDescent="0.3">
      <c r="A106" s="5" t="s">
        <v>244</v>
      </c>
      <c r="B106" s="5" t="s">
        <v>552</v>
      </c>
      <c r="D106" s="7" t="s">
        <v>592</v>
      </c>
      <c r="F106" s="5" t="str">
        <f t="shared" si="2"/>
        <v>IK-T8A0B-02-F0008-MV-D-40K-UD-00-WH-BFU-SF</v>
      </c>
      <c r="G106" s="8" t="s">
        <v>8</v>
      </c>
      <c r="H106" s="8" t="s">
        <v>7</v>
      </c>
      <c r="I106" s="8" t="s">
        <v>232</v>
      </c>
      <c r="J106" s="8" t="s">
        <v>231</v>
      </c>
      <c r="K106" s="8" t="s">
        <v>7</v>
      </c>
      <c r="L106" s="9" t="s">
        <v>9</v>
      </c>
      <c r="M106" s="8" t="s">
        <v>7</v>
      </c>
      <c r="N106" s="8" t="s">
        <v>35</v>
      </c>
      <c r="O106" s="8" t="s">
        <v>56</v>
      </c>
      <c r="P106" s="8" t="s">
        <v>7</v>
      </c>
      <c r="Q106" s="8" t="s">
        <v>10</v>
      </c>
      <c r="R106" s="8" t="s">
        <v>7</v>
      </c>
      <c r="S106" s="8" t="s">
        <v>11</v>
      </c>
      <c r="T106" s="8" t="s">
        <v>7</v>
      </c>
      <c r="U106" s="8" t="s">
        <v>41</v>
      </c>
      <c r="V106" s="8" t="s">
        <v>7</v>
      </c>
      <c r="W106" s="8" t="s">
        <v>48</v>
      </c>
      <c r="X106" s="8" t="s">
        <v>7</v>
      </c>
      <c r="Y106" s="10" t="s">
        <v>134</v>
      </c>
      <c r="Z106" s="8" t="s">
        <v>7</v>
      </c>
      <c r="AA106" s="8" t="s">
        <v>49</v>
      </c>
      <c r="AB106" s="8" t="s">
        <v>7</v>
      </c>
      <c r="AC106" s="8" t="s">
        <v>15</v>
      </c>
      <c r="AD106" s="8" t="s">
        <v>7</v>
      </c>
      <c r="AE106" s="8" t="s">
        <v>252</v>
      </c>
      <c r="AF106" s="8"/>
      <c r="AG106" s="8"/>
      <c r="AH106" s="8"/>
      <c r="AI106" s="8"/>
      <c r="AJ106" s="8"/>
      <c r="AK106" s="8"/>
      <c r="AL106" s="8"/>
      <c r="AM106" s="8"/>
    </row>
    <row r="107" spans="1:39" ht="49.9" customHeight="1" x14ac:dyDescent="0.3">
      <c r="A107" s="5" t="s">
        <v>244</v>
      </c>
      <c r="B107" s="5" t="s">
        <v>552</v>
      </c>
      <c r="D107" s="7" t="s">
        <v>586</v>
      </c>
      <c r="F107" s="5" t="str">
        <f t="shared" ref="F107:F130" si="3">_xlfn.CONCAT(G107,H107,I107,J107,K107,L107,M107,N107,O107,P107,Q107,R107,S107,T107,U107,V107,W107,X107,Y107,Z107,AA107,AB107,AC107,AD107,AE107,AF107,AG107,AH107,AI107,AJ107,AK107,AL107)</f>
        <v>IK-T8A0B-02-F0009-MV-D-50K-UD-00-WH-BFU-SF</v>
      </c>
      <c r="G107" s="8" t="s">
        <v>8</v>
      </c>
      <c r="H107" s="8" t="s">
        <v>7</v>
      </c>
      <c r="I107" s="8" t="s">
        <v>232</v>
      </c>
      <c r="J107" s="8" t="s">
        <v>231</v>
      </c>
      <c r="K107" s="8" t="s">
        <v>7</v>
      </c>
      <c r="L107" s="9" t="s">
        <v>9</v>
      </c>
      <c r="M107" s="8" t="s">
        <v>7</v>
      </c>
      <c r="N107" s="8" t="s">
        <v>35</v>
      </c>
      <c r="O107" s="8" t="s">
        <v>137</v>
      </c>
      <c r="P107" s="8" t="s">
        <v>7</v>
      </c>
      <c r="Q107" s="8" t="s">
        <v>10</v>
      </c>
      <c r="R107" s="8" t="s">
        <v>7</v>
      </c>
      <c r="S107" s="8" t="s">
        <v>11</v>
      </c>
      <c r="T107" s="8" t="s">
        <v>7</v>
      </c>
      <c r="U107" s="8" t="s">
        <v>43</v>
      </c>
      <c r="V107" s="8" t="s">
        <v>7</v>
      </c>
      <c r="W107" s="8" t="s">
        <v>48</v>
      </c>
      <c r="X107" s="8" t="s">
        <v>7</v>
      </c>
      <c r="Y107" s="10" t="s">
        <v>134</v>
      </c>
      <c r="Z107" s="8" t="s">
        <v>7</v>
      </c>
      <c r="AA107" s="8" t="s">
        <v>49</v>
      </c>
      <c r="AB107" s="8" t="s">
        <v>7</v>
      </c>
      <c r="AC107" s="8" t="s">
        <v>15</v>
      </c>
      <c r="AD107" s="8" t="s">
        <v>7</v>
      </c>
      <c r="AE107" s="8" t="s">
        <v>252</v>
      </c>
      <c r="AF107" s="8"/>
      <c r="AG107" s="8"/>
      <c r="AH107" s="8"/>
      <c r="AI107" s="8"/>
      <c r="AJ107" s="8"/>
      <c r="AK107" s="8"/>
      <c r="AL107" s="8"/>
      <c r="AM107" s="8"/>
    </row>
    <row r="108" spans="1:39" ht="49.9" customHeight="1" x14ac:dyDescent="0.3">
      <c r="A108" s="5" t="s">
        <v>244</v>
      </c>
      <c r="B108" s="5" t="s">
        <v>552</v>
      </c>
      <c r="D108" s="7" t="s">
        <v>587</v>
      </c>
      <c r="F108" s="5" t="str">
        <f t="shared" si="3"/>
        <v>IK-T8A0B-02-F0012-MV-D-40K-UD-00-WH-BFU-SF</v>
      </c>
      <c r="G108" s="8" t="s">
        <v>8</v>
      </c>
      <c r="H108" s="8" t="s">
        <v>7</v>
      </c>
      <c r="I108" s="8" t="s">
        <v>232</v>
      </c>
      <c r="J108" s="8" t="s">
        <v>231</v>
      </c>
      <c r="K108" s="8" t="s">
        <v>7</v>
      </c>
      <c r="L108" s="9" t="s">
        <v>9</v>
      </c>
      <c r="M108" s="8" t="s">
        <v>7</v>
      </c>
      <c r="N108" s="8" t="s">
        <v>35</v>
      </c>
      <c r="O108" s="8" t="s">
        <v>58</v>
      </c>
      <c r="P108" s="8" t="s">
        <v>7</v>
      </c>
      <c r="Q108" s="8" t="s">
        <v>10</v>
      </c>
      <c r="R108" s="8" t="s">
        <v>7</v>
      </c>
      <c r="S108" s="8" t="s">
        <v>11</v>
      </c>
      <c r="T108" s="8" t="s">
        <v>7</v>
      </c>
      <c r="U108" s="8" t="s">
        <v>41</v>
      </c>
      <c r="V108" s="8" t="s">
        <v>7</v>
      </c>
      <c r="W108" s="8" t="s">
        <v>48</v>
      </c>
      <c r="X108" s="8" t="s">
        <v>7</v>
      </c>
      <c r="Y108" s="10" t="s">
        <v>134</v>
      </c>
      <c r="Z108" s="8" t="s">
        <v>7</v>
      </c>
      <c r="AA108" s="8" t="s">
        <v>49</v>
      </c>
      <c r="AB108" s="8" t="s">
        <v>7</v>
      </c>
      <c r="AC108" s="8" t="s">
        <v>15</v>
      </c>
      <c r="AD108" s="8" t="s">
        <v>7</v>
      </c>
      <c r="AE108" s="8" t="s">
        <v>252</v>
      </c>
      <c r="AF108" s="8"/>
      <c r="AG108" s="8"/>
      <c r="AH108" s="8"/>
      <c r="AI108" s="8"/>
      <c r="AJ108" s="8"/>
      <c r="AK108" s="8"/>
      <c r="AL108" s="8"/>
      <c r="AM108" s="8"/>
    </row>
    <row r="109" spans="1:39" ht="49.9" customHeight="1" x14ac:dyDescent="0.3">
      <c r="A109" s="5" t="s">
        <v>244</v>
      </c>
      <c r="B109" s="5" t="s">
        <v>552</v>
      </c>
      <c r="D109" s="7" t="s">
        <v>590</v>
      </c>
      <c r="F109" s="5" t="str">
        <f t="shared" si="3"/>
        <v>IK-T8A0B-02-F0012-MV-D-50K-UD-00-WH-BFU-SF</v>
      </c>
      <c r="G109" s="8" t="s">
        <v>8</v>
      </c>
      <c r="H109" s="8" t="s">
        <v>7</v>
      </c>
      <c r="I109" s="8" t="s">
        <v>232</v>
      </c>
      <c r="J109" s="8" t="s">
        <v>231</v>
      </c>
      <c r="K109" s="8" t="s">
        <v>7</v>
      </c>
      <c r="L109" s="9" t="s">
        <v>9</v>
      </c>
      <c r="M109" s="8" t="s">
        <v>7</v>
      </c>
      <c r="N109" s="8" t="s">
        <v>35</v>
      </c>
      <c r="O109" s="8" t="s">
        <v>58</v>
      </c>
      <c r="P109" s="8" t="s">
        <v>7</v>
      </c>
      <c r="Q109" s="8" t="s">
        <v>10</v>
      </c>
      <c r="R109" s="8" t="s">
        <v>7</v>
      </c>
      <c r="S109" s="8" t="s">
        <v>11</v>
      </c>
      <c r="T109" s="8" t="s">
        <v>7</v>
      </c>
      <c r="U109" s="8" t="s">
        <v>43</v>
      </c>
      <c r="V109" s="8" t="s">
        <v>7</v>
      </c>
      <c r="W109" s="8" t="s">
        <v>48</v>
      </c>
      <c r="X109" s="8" t="s">
        <v>7</v>
      </c>
      <c r="Y109" s="10" t="s">
        <v>134</v>
      </c>
      <c r="Z109" s="8" t="s">
        <v>7</v>
      </c>
      <c r="AA109" s="8" t="s">
        <v>49</v>
      </c>
      <c r="AB109" s="8" t="s">
        <v>7</v>
      </c>
      <c r="AC109" s="8" t="s">
        <v>15</v>
      </c>
      <c r="AD109" s="8" t="s">
        <v>7</v>
      </c>
      <c r="AE109" s="8" t="s">
        <v>252</v>
      </c>
      <c r="AF109" s="8"/>
      <c r="AG109" s="8"/>
      <c r="AH109" s="8"/>
      <c r="AI109" s="8"/>
      <c r="AJ109" s="8"/>
      <c r="AK109" s="8"/>
      <c r="AL109" s="8"/>
      <c r="AM109" s="8"/>
    </row>
    <row r="110" spans="1:39" ht="49.9" customHeight="1" x14ac:dyDescent="0.3">
      <c r="A110" s="5" t="s">
        <v>244</v>
      </c>
      <c r="B110" s="5" t="s">
        <v>552</v>
      </c>
      <c r="D110" s="7" t="s">
        <v>666</v>
      </c>
      <c r="F110" s="5" t="str">
        <f t="shared" si="3"/>
        <v>IK-T8A0B-03-F0012-MV-D-40K-UD-00-WH-BFU-SF</v>
      </c>
      <c r="G110" s="8" t="s">
        <v>8</v>
      </c>
      <c r="H110" s="8" t="s">
        <v>7</v>
      </c>
      <c r="I110" s="8" t="s">
        <v>232</v>
      </c>
      <c r="J110" s="8" t="s">
        <v>231</v>
      </c>
      <c r="K110" s="8" t="s">
        <v>7</v>
      </c>
      <c r="L110" s="9" t="s">
        <v>34</v>
      </c>
      <c r="M110" s="8" t="s">
        <v>7</v>
      </c>
      <c r="N110" s="8" t="s">
        <v>35</v>
      </c>
      <c r="O110" s="8" t="s">
        <v>58</v>
      </c>
      <c r="P110" s="8" t="s">
        <v>7</v>
      </c>
      <c r="Q110" s="8" t="s">
        <v>10</v>
      </c>
      <c r="R110" s="8" t="s">
        <v>7</v>
      </c>
      <c r="S110" s="8" t="s">
        <v>11</v>
      </c>
      <c r="T110" s="8" t="s">
        <v>7</v>
      </c>
      <c r="U110" s="8" t="s">
        <v>41</v>
      </c>
      <c r="V110" s="8" t="s">
        <v>7</v>
      </c>
      <c r="W110" s="8" t="s">
        <v>48</v>
      </c>
      <c r="X110" s="8" t="s">
        <v>7</v>
      </c>
      <c r="Y110" s="10" t="s">
        <v>134</v>
      </c>
      <c r="Z110" s="8" t="s">
        <v>7</v>
      </c>
      <c r="AA110" s="8" t="s">
        <v>49</v>
      </c>
      <c r="AB110" s="8" t="s">
        <v>7</v>
      </c>
      <c r="AC110" s="8" t="s">
        <v>15</v>
      </c>
      <c r="AD110" s="8" t="s">
        <v>7</v>
      </c>
      <c r="AE110" s="8" t="s">
        <v>252</v>
      </c>
      <c r="AF110" s="8"/>
      <c r="AG110" s="8"/>
      <c r="AH110" s="8"/>
      <c r="AI110" s="8"/>
      <c r="AJ110" s="8"/>
      <c r="AK110" s="8"/>
      <c r="AL110" s="8"/>
      <c r="AM110" s="8"/>
    </row>
    <row r="111" spans="1:39" ht="49.9" customHeight="1" x14ac:dyDescent="0.3">
      <c r="A111" s="5" t="s">
        <v>244</v>
      </c>
      <c r="B111" s="5" t="s">
        <v>552</v>
      </c>
      <c r="D111" s="7" t="s">
        <v>589</v>
      </c>
      <c r="F111" s="5" t="str">
        <f t="shared" si="3"/>
        <v>IK-T8A0B-03-F0015-MV-D-40K-UD-00-WH-BFU-SF</v>
      </c>
      <c r="G111" s="8" t="s">
        <v>8</v>
      </c>
      <c r="H111" s="8" t="s">
        <v>7</v>
      </c>
      <c r="I111" s="8" t="s">
        <v>232</v>
      </c>
      <c r="J111" s="8" t="s">
        <v>231</v>
      </c>
      <c r="K111" s="8" t="s">
        <v>7</v>
      </c>
      <c r="L111" s="9" t="s">
        <v>34</v>
      </c>
      <c r="M111" s="8" t="s">
        <v>7</v>
      </c>
      <c r="N111" s="8" t="s">
        <v>35</v>
      </c>
      <c r="O111" s="8" t="s">
        <v>59</v>
      </c>
      <c r="P111" s="8" t="s">
        <v>7</v>
      </c>
      <c r="Q111" s="8" t="s">
        <v>10</v>
      </c>
      <c r="R111" s="8" t="s">
        <v>7</v>
      </c>
      <c r="S111" s="8" t="s">
        <v>11</v>
      </c>
      <c r="T111" s="8" t="s">
        <v>7</v>
      </c>
      <c r="U111" s="8" t="s">
        <v>41</v>
      </c>
      <c r="V111" s="8" t="s">
        <v>7</v>
      </c>
      <c r="W111" s="8" t="s">
        <v>48</v>
      </c>
      <c r="X111" s="8" t="s">
        <v>7</v>
      </c>
      <c r="Y111" s="10" t="s">
        <v>134</v>
      </c>
      <c r="Z111" s="8" t="s">
        <v>7</v>
      </c>
      <c r="AA111" s="8" t="s">
        <v>49</v>
      </c>
      <c r="AB111" s="8" t="s">
        <v>7</v>
      </c>
      <c r="AC111" s="8" t="s">
        <v>15</v>
      </c>
      <c r="AD111" s="8" t="s">
        <v>7</v>
      </c>
      <c r="AE111" s="8" t="s">
        <v>252</v>
      </c>
      <c r="AF111" s="8"/>
      <c r="AG111" s="8"/>
      <c r="AH111" s="8"/>
      <c r="AI111" s="8"/>
      <c r="AJ111" s="8"/>
      <c r="AK111" s="8"/>
      <c r="AL111" s="8"/>
      <c r="AM111" s="8"/>
    </row>
    <row r="112" spans="1:39" ht="49.9" customHeight="1" x14ac:dyDescent="0.3">
      <c r="A112" s="5" t="s">
        <v>244</v>
      </c>
      <c r="B112" s="5" t="s">
        <v>552</v>
      </c>
      <c r="D112" s="7" t="s">
        <v>589</v>
      </c>
      <c r="F112" s="5" t="str">
        <f t="shared" si="3"/>
        <v>IK-T8A0B-03-F0015-MV-D-50K-UD-00-WH-BFU-SF</v>
      </c>
      <c r="G112" s="8" t="s">
        <v>8</v>
      </c>
      <c r="H112" s="8" t="s">
        <v>7</v>
      </c>
      <c r="I112" s="8" t="s">
        <v>232</v>
      </c>
      <c r="J112" s="8" t="s">
        <v>231</v>
      </c>
      <c r="K112" s="8" t="s">
        <v>7</v>
      </c>
      <c r="L112" s="9" t="s">
        <v>34</v>
      </c>
      <c r="M112" s="8" t="s">
        <v>7</v>
      </c>
      <c r="N112" s="8" t="s">
        <v>35</v>
      </c>
      <c r="O112" s="8" t="s">
        <v>59</v>
      </c>
      <c r="P112" s="8" t="s">
        <v>7</v>
      </c>
      <c r="Q112" s="8" t="s">
        <v>10</v>
      </c>
      <c r="R112" s="8" t="s">
        <v>7</v>
      </c>
      <c r="S112" s="8" t="s">
        <v>11</v>
      </c>
      <c r="T112" s="8" t="s">
        <v>7</v>
      </c>
      <c r="U112" s="8" t="s">
        <v>43</v>
      </c>
      <c r="V112" s="8" t="s">
        <v>7</v>
      </c>
      <c r="W112" s="8" t="s">
        <v>48</v>
      </c>
      <c r="X112" s="8" t="s">
        <v>7</v>
      </c>
      <c r="Y112" s="10" t="s">
        <v>134</v>
      </c>
      <c r="Z112" s="8" t="s">
        <v>7</v>
      </c>
      <c r="AA112" s="8" t="s">
        <v>49</v>
      </c>
      <c r="AB112" s="8" t="s">
        <v>7</v>
      </c>
      <c r="AC112" s="8" t="s">
        <v>15</v>
      </c>
      <c r="AD112" s="8" t="s">
        <v>7</v>
      </c>
      <c r="AE112" s="8" t="s">
        <v>252</v>
      </c>
      <c r="AF112" s="8"/>
      <c r="AG112" s="8"/>
      <c r="AH112" s="8"/>
      <c r="AI112" s="8"/>
      <c r="AJ112" s="8"/>
      <c r="AK112" s="8"/>
      <c r="AL112" s="8"/>
      <c r="AM112" s="8"/>
    </row>
    <row r="113" spans="1:39" ht="49.9" customHeight="1" x14ac:dyDescent="0.3">
      <c r="A113" s="5" t="s">
        <v>244</v>
      </c>
      <c r="B113" s="5" t="s">
        <v>552</v>
      </c>
      <c r="D113" s="7" t="s">
        <v>588</v>
      </c>
      <c r="F113" s="5" t="str">
        <f t="shared" si="3"/>
        <v>IK-T8A0B-03-F0018-MV-D-40K-UD-00-WH-BFU-SF</v>
      </c>
      <c r="G113" s="8" t="s">
        <v>8</v>
      </c>
      <c r="H113" s="8" t="s">
        <v>7</v>
      </c>
      <c r="I113" s="8" t="s">
        <v>232</v>
      </c>
      <c r="J113" s="8" t="s">
        <v>231</v>
      </c>
      <c r="K113" s="8" t="s">
        <v>7</v>
      </c>
      <c r="L113" s="9" t="s">
        <v>34</v>
      </c>
      <c r="M113" s="8" t="s">
        <v>7</v>
      </c>
      <c r="N113" s="8" t="s">
        <v>35</v>
      </c>
      <c r="O113" s="8" t="s">
        <v>60</v>
      </c>
      <c r="P113" s="8" t="s">
        <v>7</v>
      </c>
      <c r="Q113" s="8" t="s">
        <v>10</v>
      </c>
      <c r="R113" s="8" t="s">
        <v>7</v>
      </c>
      <c r="S113" s="8" t="s">
        <v>11</v>
      </c>
      <c r="T113" s="8" t="s">
        <v>7</v>
      </c>
      <c r="U113" s="8" t="s">
        <v>41</v>
      </c>
      <c r="V113" s="8" t="s">
        <v>7</v>
      </c>
      <c r="W113" s="8" t="s">
        <v>48</v>
      </c>
      <c r="X113" s="8" t="s">
        <v>7</v>
      </c>
      <c r="Y113" s="10" t="s">
        <v>134</v>
      </c>
      <c r="Z113" s="8" t="s">
        <v>7</v>
      </c>
      <c r="AA113" s="8" t="s">
        <v>49</v>
      </c>
      <c r="AB113" s="8" t="s">
        <v>7</v>
      </c>
      <c r="AC113" s="8" t="s">
        <v>15</v>
      </c>
      <c r="AD113" s="8" t="s">
        <v>7</v>
      </c>
      <c r="AE113" s="8" t="s">
        <v>252</v>
      </c>
      <c r="AF113" s="8"/>
      <c r="AG113" s="8"/>
      <c r="AH113" s="8"/>
      <c r="AI113" s="8"/>
      <c r="AJ113" s="8"/>
      <c r="AK113" s="8"/>
      <c r="AL113" s="8"/>
      <c r="AM113" s="8"/>
    </row>
    <row r="114" spans="1:39" ht="49.9" customHeight="1" x14ac:dyDescent="0.3">
      <c r="A114" s="5" t="s">
        <v>244</v>
      </c>
      <c r="B114" s="5" t="s">
        <v>552</v>
      </c>
      <c r="D114" s="7" t="s">
        <v>591</v>
      </c>
      <c r="F114" s="5" t="str">
        <f t="shared" si="3"/>
        <v>IK-T8A0B-03-F0018-MV-D-50K-UD-00-WH-BFU-SF</v>
      </c>
      <c r="G114" s="8" t="s">
        <v>8</v>
      </c>
      <c r="H114" s="8" t="s">
        <v>7</v>
      </c>
      <c r="I114" s="8" t="s">
        <v>232</v>
      </c>
      <c r="J114" s="8" t="s">
        <v>231</v>
      </c>
      <c r="K114" s="8" t="s">
        <v>7</v>
      </c>
      <c r="L114" s="9" t="s">
        <v>34</v>
      </c>
      <c r="M114" s="8" t="s">
        <v>7</v>
      </c>
      <c r="N114" s="8" t="s">
        <v>35</v>
      </c>
      <c r="O114" s="8" t="s">
        <v>60</v>
      </c>
      <c r="P114" s="8" t="s">
        <v>7</v>
      </c>
      <c r="Q114" s="8" t="s">
        <v>10</v>
      </c>
      <c r="R114" s="8" t="s">
        <v>7</v>
      </c>
      <c r="S114" s="8" t="s">
        <v>11</v>
      </c>
      <c r="T114" s="8" t="s">
        <v>7</v>
      </c>
      <c r="U114" s="8" t="s">
        <v>43</v>
      </c>
      <c r="V114" s="8" t="s">
        <v>7</v>
      </c>
      <c r="W114" s="8" t="s">
        <v>48</v>
      </c>
      <c r="X114" s="8" t="s">
        <v>7</v>
      </c>
      <c r="Y114" s="10" t="s">
        <v>134</v>
      </c>
      <c r="Z114" s="8" t="s">
        <v>7</v>
      </c>
      <c r="AA114" s="8" t="s">
        <v>49</v>
      </c>
      <c r="AB114" s="8" t="s">
        <v>7</v>
      </c>
      <c r="AC114" s="8" t="s">
        <v>15</v>
      </c>
      <c r="AD114" s="8" t="s">
        <v>7</v>
      </c>
      <c r="AE114" s="8" t="s">
        <v>252</v>
      </c>
      <c r="AF114" s="8"/>
      <c r="AG114" s="8"/>
      <c r="AH114" s="8"/>
      <c r="AI114" s="8"/>
      <c r="AJ114" s="8"/>
      <c r="AK114" s="8"/>
      <c r="AL114" s="8"/>
      <c r="AM114" s="8"/>
    </row>
    <row r="115" spans="1:39" ht="49.9" customHeight="1" x14ac:dyDescent="0.3">
      <c r="A115" s="5" t="s">
        <v>244</v>
      </c>
      <c r="B115" s="5" t="s">
        <v>552</v>
      </c>
      <c r="D115" s="7" t="s">
        <v>554</v>
      </c>
      <c r="F115" s="5" t="str">
        <f t="shared" si="3"/>
        <v>IK-T8AAB-02-F0009-MV-D-40K-UD-00-WH-BFU-SF</v>
      </c>
      <c r="G115" s="8" t="s">
        <v>8</v>
      </c>
      <c r="H115" s="8" t="s">
        <v>7</v>
      </c>
      <c r="I115" s="8" t="s">
        <v>232</v>
      </c>
      <c r="J115" s="8" t="s">
        <v>221</v>
      </c>
      <c r="K115" s="8" t="s">
        <v>7</v>
      </c>
      <c r="L115" s="9" t="s">
        <v>9</v>
      </c>
      <c r="M115" s="8" t="s">
        <v>7</v>
      </c>
      <c r="N115" s="8" t="s">
        <v>35</v>
      </c>
      <c r="O115" s="8" t="s">
        <v>137</v>
      </c>
      <c r="P115" s="8" t="s">
        <v>7</v>
      </c>
      <c r="Q115" s="8" t="s">
        <v>10</v>
      </c>
      <c r="R115" s="8" t="s">
        <v>7</v>
      </c>
      <c r="S115" s="8" t="s">
        <v>11</v>
      </c>
      <c r="T115" s="8" t="s">
        <v>7</v>
      </c>
      <c r="U115" s="8" t="s">
        <v>41</v>
      </c>
      <c r="V115" s="8" t="s">
        <v>7</v>
      </c>
      <c r="W115" s="8" t="s">
        <v>48</v>
      </c>
      <c r="X115" s="8" t="s">
        <v>7</v>
      </c>
      <c r="Y115" s="10" t="s">
        <v>134</v>
      </c>
      <c r="Z115" s="8" t="s">
        <v>7</v>
      </c>
      <c r="AA115" s="8" t="s">
        <v>49</v>
      </c>
      <c r="AB115" s="8" t="s">
        <v>7</v>
      </c>
      <c r="AC115" s="8" t="s">
        <v>15</v>
      </c>
      <c r="AD115" s="8" t="s">
        <v>7</v>
      </c>
      <c r="AE115" s="8" t="s">
        <v>252</v>
      </c>
      <c r="AF115" s="8"/>
      <c r="AG115" s="8"/>
      <c r="AH115" s="8"/>
      <c r="AI115" s="8"/>
      <c r="AJ115" s="8"/>
      <c r="AK115" s="8"/>
      <c r="AL115" s="8"/>
      <c r="AM115" s="8"/>
    </row>
    <row r="116" spans="1:39" ht="49.9" customHeight="1" x14ac:dyDescent="0.3">
      <c r="A116" s="5" t="s">
        <v>244</v>
      </c>
      <c r="B116" s="5" t="s">
        <v>552</v>
      </c>
      <c r="D116" s="7" t="s">
        <v>555</v>
      </c>
      <c r="F116" s="5" t="str">
        <f t="shared" si="3"/>
        <v>IK-T8AAB-04-F0013.5-MV-D-40K-UD-00-WH-BFU-SF</v>
      </c>
      <c r="G116" s="8" t="s">
        <v>8</v>
      </c>
      <c r="H116" s="8" t="s">
        <v>7</v>
      </c>
      <c r="I116" s="8" t="s">
        <v>232</v>
      </c>
      <c r="J116" s="8" t="s">
        <v>221</v>
      </c>
      <c r="K116" s="8" t="s">
        <v>7</v>
      </c>
      <c r="L116" s="9" t="s">
        <v>32</v>
      </c>
      <c r="M116" s="8" t="s">
        <v>7</v>
      </c>
      <c r="N116" s="8" t="s">
        <v>35</v>
      </c>
      <c r="O116" s="8" t="s">
        <v>453</v>
      </c>
      <c r="P116" s="8" t="s">
        <v>7</v>
      </c>
      <c r="Q116" s="8" t="s">
        <v>10</v>
      </c>
      <c r="R116" s="8" t="s">
        <v>7</v>
      </c>
      <c r="S116" s="8" t="s">
        <v>11</v>
      </c>
      <c r="T116" s="8" t="s">
        <v>7</v>
      </c>
      <c r="U116" s="8" t="s">
        <v>41</v>
      </c>
      <c r="V116" s="8" t="s">
        <v>7</v>
      </c>
      <c r="W116" s="8" t="s">
        <v>48</v>
      </c>
      <c r="X116" s="8" t="s">
        <v>7</v>
      </c>
      <c r="Y116" s="10" t="s">
        <v>134</v>
      </c>
      <c r="Z116" s="8" t="s">
        <v>7</v>
      </c>
      <c r="AA116" s="8" t="s">
        <v>49</v>
      </c>
      <c r="AB116" s="8" t="s">
        <v>7</v>
      </c>
      <c r="AC116" s="8" t="s">
        <v>15</v>
      </c>
      <c r="AD116" s="8" t="s">
        <v>7</v>
      </c>
      <c r="AE116" s="8" t="s">
        <v>252</v>
      </c>
      <c r="AF116" s="8"/>
      <c r="AG116" s="8"/>
      <c r="AH116" s="8"/>
      <c r="AI116" s="8"/>
      <c r="AJ116" s="8"/>
      <c r="AK116" s="8"/>
      <c r="AL116" s="8"/>
      <c r="AM116" s="8"/>
    </row>
    <row r="117" spans="1:39" ht="49.9" customHeight="1" x14ac:dyDescent="0.3">
      <c r="A117" s="5" t="s">
        <v>244</v>
      </c>
      <c r="B117" s="5" t="s">
        <v>552</v>
      </c>
      <c r="D117" s="7" t="s">
        <v>577</v>
      </c>
      <c r="F117" s="5" t="str">
        <f t="shared" si="3"/>
        <v>IK-T8AAB-02-F0008-MV-D-40K-UD-00-WH-BFU-SF</v>
      </c>
      <c r="G117" s="8" t="s">
        <v>8</v>
      </c>
      <c r="H117" s="8" t="s">
        <v>7</v>
      </c>
      <c r="I117" s="8" t="s">
        <v>232</v>
      </c>
      <c r="J117" s="8" t="s">
        <v>221</v>
      </c>
      <c r="K117" s="8" t="s">
        <v>7</v>
      </c>
      <c r="L117" s="9" t="s">
        <v>9</v>
      </c>
      <c r="M117" s="8" t="s">
        <v>7</v>
      </c>
      <c r="N117" s="8" t="s">
        <v>35</v>
      </c>
      <c r="O117" s="8" t="s">
        <v>56</v>
      </c>
      <c r="P117" s="8" t="s">
        <v>7</v>
      </c>
      <c r="Q117" s="8" t="s">
        <v>10</v>
      </c>
      <c r="R117" s="8" t="s">
        <v>7</v>
      </c>
      <c r="S117" s="8" t="s">
        <v>11</v>
      </c>
      <c r="T117" s="8" t="s">
        <v>7</v>
      </c>
      <c r="U117" s="8" t="s">
        <v>41</v>
      </c>
      <c r="V117" s="8" t="s">
        <v>7</v>
      </c>
      <c r="W117" s="8" t="s">
        <v>48</v>
      </c>
      <c r="X117" s="8" t="s">
        <v>7</v>
      </c>
      <c r="Y117" s="10" t="s">
        <v>134</v>
      </c>
      <c r="Z117" s="8" t="s">
        <v>7</v>
      </c>
      <c r="AA117" s="8" t="s">
        <v>49</v>
      </c>
      <c r="AB117" s="8" t="s">
        <v>7</v>
      </c>
      <c r="AC117" s="8" t="s">
        <v>15</v>
      </c>
      <c r="AD117" s="8" t="s">
        <v>7</v>
      </c>
      <c r="AE117" s="8" t="s">
        <v>252</v>
      </c>
      <c r="AF117" s="8"/>
      <c r="AG117" s="8"/>
      <c r="AH117" s="8"/>
      <c r="AI117" s="8"/>
      <c r="AJ117" s="8"/>
      <c r="AK117" s="8"/>
      <c r="AL117" s="8"/>
      <c r="AM117" s="8"/>
    </row>
    <row r="118" spans="1:39" ht="49.9" customHeight="1" x14ac:dyDescent="0.3">
      <c r="A118" s="5" t="s">
        <v>244</v>
      </c>
      <c r="B118" s="5" t="s">
        <v>552</v>
      </c>
      <c r="D118" s="7" t="s">
        <v>553</v>
      </c>
      <c r="F118" s="5" t="str">
        <f t="shared" si="3"/>
        <v>IK-T8AAB-04-F0015-MV-D-40K-UD-00-WH-BFU-SF</v>
      </c>
      <c r="G118" s="8" t="s">
        <v>8</v>
      </c>
      <c r="H118" s="8" t="s">
        <v>7</v>
      </c>
      <c r="I118" s="8" t="s">
        <v>232</v>
      </c>
      <c r="J118" s="8" t="s">
        <v>221</v>
      </c>
      <c r="K118" s="8" t="s">
        <v>7</v>
      </c>
      <c r="L118" s="9" t="s">
        <v>32</v>
      </c>
      <c r="M118" s="8" t="s">
        <v>7</v>
      </c>
      <c r="N118" s="8" t="s">
        <v>35</v>
      </c>
      <c r="O118" s="8" t="s">
        <v>59</v>
      </c>
      <c r="P118" s="8" t="s">
        <v>7</v>
      </c>
      <c r="Q118" s="8" t="s">
        <v>10</v>
      </c>
      <c r="R118" s="8" t="s">
        <v>7</v>
      </c>
      <c r="S118" s="8" t="s">
        <v>11</v>
      </c>
      <c r="T118" s="8" t="s">
        <v>7</v>
      </c>
      <c r="U118" s="8" t="s">
        <v>41</v>
      </c>
      <c r="V118" s="8" t="s">
        <v>7</v>
      </c>
      <c r="W118" s="8" t="s">
        <v>48</v>
      </c>
      <c r="X118" s="8" t="s">
        <v>7</v>
      </c>
      <c r="Y118" s="10" t="s">
        <v>134</v>
      </c>
      <c r="Z118" s="8" t="s">
        <v>7</v>
      </c>
      <c r="AA118" s="8" t="s">
        <v>49</v>
      </c>
      <c r="AB118" s="8" t="s">
        <v>7</v>
      </c>
      <c r="AC118" s="8" t="s">
        <v>15</v>
      </c>
      <c r="AD118" s="8" t="s">
        <v>7</v>
      </c>
      <c r="AE118" s="8" t="s">
        <v>252</v>
      </c>
      <c r="AF118" s="8"/>
      <c r="AG118" s="8"/>
      <c r="AH118" s="8"/>
      <c r="AI118" s="8"/>
      <c r="AJ118" s="8"/>
      <c r="AK118" s="8"/>
      <c r="AL118" s="8"/>
      <c r="AM118" s="8"/>
    </row>
    <row r="119" spans="1:39" ht="49.9" customHeight="1" x14ac:dyDescent="0.3">
      <c r="A119" s="5" t="s">
        <v>244</v>
      </c>
      <c r="B119" s="5" t="s">
        <v>552</v>
      </c>
      <c r="C119" s="70">
        <v>662187542430</v>
      </c>
      <c r="D119" s="7" t="s">
        <v>677</v>
      </c>
      <c r="F119" s="5" t="str">
        <f t="shared" si="3"/>
        <v>IK-T8A0B-04-F0012-MV-D-35K-UD-00-WH-BFU-SF</v>
      </c>
      <c r="G119" s="8" t="s">
        <v>8</v>
      </c>
      <c r="H119" s="8" t="s">
        <v>7</v>
      </c>
      <c r="I119" s="8" t="s">
        <v>232</v>
      </c>
      <c r="J119" s="8" t="s">
        <v>231</v>
      </c>
      <c r="K119" s="8" t="s">
        <v>7</v>
      </c>
      <c r="L119" s="9" t="s">
        <v>32</v>
      </c>
      <c r="M119" s="8" t="s">
        <v>7</v>
      </c>
      <c r="N119" s="8" t="s">
        <v>35</v>
      </c>
      <c r="O119" s="8" t="s">
        <v>58</v>
      </c>
      <c r="P119" s="8" t="s">
        <v>7</v>
      </c>
      <c r="Q119" s="8" t="s">
        <v>10</v>
      </c>
      <c r="R119" s="8" t="s">
        <v>7</v>
      </c>
      <c r="S119" s="8" t="s">
        <v>11</v>
      </c>
      <c r="T119" s="8" t="s">
        <v>7</v>
      </c>
      <c r="U119" s="8" t="s">
        <v>40</v>
      </c>
      <c r="V119" s="8" t="s">
        <v>7</v>
      </c>
      <c r="W119" s="8" t="s">
        <v>48</v>
      </c>
      <c r="X119" s="8" t="s">
        <v>7</v>
      </c>
      <c r="Y119" s="10" t="s">
        <v>134</v>
      </c>
      <c r="Z119" s="8" t="s">
        <v>7</v>
      </c>
      <c r="AA119" s="8" t="s">
        <v>49</v>
      </c>
      <c r="AB119" s="8" t="s">
        <v>7</v>
      </c>
      <c r="AC119" s="8" t="s">
        <v>15</v>
      </c>
      <c r="AD119" s="8" t="s">
        <v>7</v>
      </c>
      <c r="AE119" s="8" t="s">
        <v>252</v>
      </c>
      <c r="AF119" s="8"/>
      <c r="AG119" s="8"/>
      <c r="AH119" s="8"/>
      <c r="AI119" s="8"/>
      <c r="AJ119" s="8"/>
      <c r="AK119" s="8"/>
      <c r="AL119" s="8"/>
      <c r="AM119" s="8"/>
    </row>
    <row r="120" spans="1:39" ht="49.9" customHeight="1" x14ac:dyDescent="0.3">
      <c r="A120" s="5" t="s">
        <v>244</v>
      </c>
      <c r="B120" s="5" t="s">
        <v>552</v>
      </c>
      <c r="C120" s="70">
        <v>662187484440</v>
      </c>
      <c r="D120" s="7" t="s">
        <v>581</v>
      </c>
      <c r="F120" s="5" t="str">
        <f t="shared" si="3"/>
        <v>IK-T8A0B-04-F0012-MV-D-40K-UD-00-WH-BFU-SF</v>
      </c>
      <c r="G120" s="8" t="s">
        <v>8</v>
      </c>
      <c r="H120" s="8" t="s">
        <v>7</v>
      </c>
      <c r="I120" s="8" t="s">
        <v>232</v>
      </c>
      <c r="J120" s="8" t="s">
        <v>231</v>
      </c>
      <c r="K120" s="8" t="s">
        <v>7</v>
      </c>
      <c r="L120" s="9" t="s">
        <v>32</v>
      </c>
      <c r="M120" s="8" t="s">
        <v>7</v>
      </c>
      <c r="N120" s="8" t="s">
        <v>35</v>
      </c>
      <c r="O120" s="8" t="s">
        <v>58</v>
      </c>
      <c r="P120" s="8" t="s">
        <v>7</v>
      </c>
      <c r="Q120" s="8" t="s">
        <v>10</v>
      </c>
      <c r="R120" s="8" t="s">
        <v>7</v>
      </c>
      <c r="S120" s="8" t="s">
        <v>11</v>
      </c>
      <c r="T120" s="8" t="s">
        <v>7</v>
      </c>
      <c r="U120" s="8" t="s">
        <v>41</v>
      </c>
      <c r="V120" s="8" t="s">
        <v>7</v>
      </c>
      <c r="W120" s="8" t="s">
        <v>48</v>
      </c>
      <c r="X120" s="8" t="s">
        <v>7</v>
      </c>
      <c r="Y120" s="10" t="s">
        <v>134</v>
      </c>
      <c r="Z120" s="8" t="s">
        <v>7</v>
      </c>
      <c r="AA120" s="8" t="s">
        <v>49</v>
      </c>
      <c r="AB120" s="8" t="s">
        <v>7</v>
      </c>
      <c r="AC120" s="8" t="s">
        <v>15</v>
      </c>
      <c r="AD120" s="8" t="s">
        <v>7</v>
      </c>
      <c r="AE120" s="8" t="s">
        <v>252</v>
      </c>
      <c r="AF120" s="8"/>
      <c r="AG120" s="8"/>
      <c r="AH120" s="8"/>
      <c r="AI120" s="8"/>
      <c r="AJ120" s="8"/>
      <c r="AK120" s="8"/>
      <c r="AL120" s="8"/>
      <c r="AM120" s="8"/>
    </row>
    <row r="121" spans="1:39" ht="49.9" customHeight="1" x14ac:dyDescent="0.3">
      <c r="A121" s="5" t="s">
        <v>244</v>
      </c>
      <c r="B121" s="5" t="s">
        <v>552</v>
      </c>
      <c r="D121" s="7" t="s">
        <v>582</v>
      </c>
      <c r="F121" s="5" t="str">
        <f t="shared" si="3"/>
        <v>IK-T8A0B-04-F0012-MV-D-50K-UD-00-WH-BFU-SF</v>
      </c>
      <c r="G121" s="8" t="s">
        <v>8</v>
      </c>
      <c r="H121" s="8" t="s">
        <v>7</v>
      </c>
      <c r="I121" s="8" t="s">
        <v>232</v>
      </c>
      <c r="J121" s="8" t="s">
        <v>231</v>
      </c>
      <c r="K121" s="8" t="s">
        <v>7</v>
      </c>
      <c r="L121" s="9" t="s">
        <v>32</v>
      </c>
      <c r="M121" s="8" t="s">
        <v>7</v>
      </c>
      <c r="N121" s="8" t="s">
        <v>35</v>
      </c>
      <c r="O121" s="8" t="s">
        <v>58</v>
      </c>
      <c r="P121" s="8" t="s">
        <v>7</v>
      </c>
      <c r="Q121" s="8" t="s">
        <v>10</v>
      </c>
      <c r="R121" s="8" t="s">
        <v>7</v>
      </c>
      <c r="S121" s="8" t="s">
        <v>11</v>
      </c>
      <c r="T121" s="8" t="s">
        <v>7</v>
      </c>
      <c r="U121" s="8" t="s">
        <v>43</v>
      </c>
      <c r="V121" s="8" t="s">
        <v>7</v>
      </c>
      <c r="W121" s="8" t="s">
        <v>48</v>
      </c>
      <c r="X121" s="8" t="s">
        <v>7</v>
      </c>
      <c r="Y121" s="10" t="s">
        <v>134</v>
      </c>
      <c r="Z121" s="8" t="s">
        <v>7</v>
      </c>
      <c r="AA121" s="8" t="s">
        <v>49</v>
      </c>
      <c r="AB121" s="8" t="s">
        <v>7</v>
      </c>
      <c r="AC121" s="8" t="s">
        <v>15</v>
      </c>
      <c r="AD121" s="8" t="s">
        <v>7</v>
      </c>
      <c r="AE121" s="8" t="s">
        <v>252</v>
      </c>
      <c r="AF121" s="8"/>
      <c r="AG121" s="8"/>
      <c r="AH121" s="8"/>
      <c r="AI121" s="8"/>
      <c r="AJ121" s="8"/>
      <c r="AK121" s="8"/>
      <c r="AL121" s="8"/>
      <c r="AM121" s="8"/>
    </row>
    <row r="122" spans="1:39" ht="49.9" customHeight="1" x14ac:dyDescent="0.3">
      <c r="A122" s="5" t="s">
        <v>244</v>
      </c>
      <c r="B122" s="5" t="s">
        <v>552</v>
      </c>
      <c r="C122" s="70">
        <v>662187484457</v>
      </c>
      <c r="D122" s="7" t="s">
        <v>583</v>
      </c>
      <c r="F122" s="5" t="str">
        <f t="shared" si="3"/>
        <v>IK-T8A0B-04-F0015-MV-D-40K-UD-00-WH-BFU-SF</v>
      </c>
      <c r="G122" s="8" t="s">
        <v>8</v>
      </c>
      <c r="H122" s="8" t="s">
        <v>7</v>
      </c>
      <c r="I122" s="8" t="s">
        <v>232</v>
      </c>
      <c r="J122" s="8" t="s">
        <v>231</v>
      </c>
      <c r="K122" s="8" t="s">
        <v>7</v>
      </c>
      <c r="L122" s="9" t="s">
        <v>32</v>
      </c>
      <c r="M122" s="8" t="s">
        <v>7</v>
      </c>
      <c r="N122" s="8" t="s">
        <v>35</v>
      </c>
      <c r="O122" s="8" t="s">
        <v>59</v>
      </c>
      <c r="P122" s="8" t="s">
        <v>7</v>
      </c>
      <c r="Q122" s="8" t="s">
        <v>10</v>
      </c>
      <c r="R122" s="8" t="s">
        <v>7</v>
      </c>
      <c r="S122" s="8" t="s">
        <v>11</v>
      </c>
      <c r="T122" s="8" t="s">
        <v>7</v>
      </c>
      <c r="U122" s="8" t="s">
        <v>41</v>
      </c>
      <c r="V122" s="8" t="s">
        <v>7</v>
      </c>
      <c r="W122" s="8" t="s">
        <v>48</v>
      </c>
      <c r="X122" s="8" t="s">
        <v>7</v>
      </c>
      <c r="Y122" s="10" t="s">
        <v>134</v>
      </c>
      <c r="Z122" s="8" t="s">
        <v>7</v>
      </c>
      <c r="AA122" s="8" t="s">
        <v>49</v>
      </c>
      <c r="AB122" s="8" t="s">
        <v>7</v>
      </c>
      <c r="AC122" s="8" t="s">
        <v>15</v>
      </c>
      <c r="AD122" s="8" t="s">
        <v>7</v>
      </c>
      <c r="AE122" s="8" t="s">
        <v>252</v>
      </c>
      <c r="AF122" s="8"/>
      <c r="AG122" s="8"/>
      <c r="AH122" s="8"/>
      <c r="AI122" s="8"/>
      <c r="AJ122" s="8"/>
      <c r="AK122" s="8"/>
      <c r="AL122" s="8"/>
      <c r="AM122" s="8"/>
    </row>
    <row r="123" spans="1:39" ht="49.9" customHeight="1" x14ac:dyDescent="0.3">
      <c r="A123" s="5" t="s">
        <v>244</v>
      </c>
      <c r="B123" s="5" t="s">
        <v>552</v>
      </c>
      <c r="D123" s="7" t="s">
        <v>583</v>
      </c>
      <c r="F123" s="5" t="str">
        <f t="shared" si="3"/>
        <v>IK-T8A0B-04-F0015-MV-D-50K-UD-00-WH-BFU-SF</v>
      </c>
      <c r="G123" s="8" t="s">
        <v>8</v>
      </c>
      <c r="H123" s="8" t="s">
        <v>7</v>
      </c>
      <c r="I123" s="8" t="s">
        <v>232</v>
      </c>
      <c r="J123" s="8" t="s">
        <v>231</v>
      </c>
      <c r="K123" s="8" t="s">
        <v>7</v>
      </c>
      <c r="L123" s="9" t="s">
        <v>32</v>
      </c>
      <c r="M123" s="8" t="s">
        <v>7</v>
      </c>
      <c r="N123" s="8" t="s">
        <v>35</v>
      </c>
      <c r="O123" s="8" t="s">
        <v>59</v>
      </c>
      <c r="P123" s="8" t="s">
        <v>7</v>
      </c>
      <c r="Q123" s="8" t="s">
        <v>10</v>
      </c>
      <c r="R123" s="8" t="s">
        <v>7</v>
      </c>
      <c r="S123" s="8" t="s">
        <v>11</v>
      </c>
      <c r="T123" s="8" t="s">
        <v>7</v>
      </c>
      <c r="U123" s="8" t="s">
        <v>43</v>
      </c>
      <c r="V123" s="8" t="s">
        <v>7</v>
      </c>
      <c r="W123" s="8" t="s">
        <v>48</v>
      </c>
      <c r="X123" s="8" t="s">
        <v>7</v>
      </c>
      <c r="Y123" s="10" t="s">
        <v>134</v>
      </c>
      <c r="Z123" s="8" t="s">
        <v>7</v>
      </c>
      <c r="AA123" s="8" t="s">
        <v>49</v>
      </c>
      <c r="AB123" s="8" t="s">
        <v>7</v>
      </c>
      <c r="AC123" s="8" t="s">
        <v>15</v>
      </c>
      <c r="AD123" s="8" t="s">
        <v>7</v>
      </c>
      <c r="AE123" s="8" t="s">
        <v>252</v>
      </c>
      <c r="AF123" s="8"/>
      <c r="AG123" s="8"/>
      <c r="AH123" s="8"/>
      <c r="AI123" s="8"/>
      <c r="AJ123" s="8"/>
      <c r="AK123" s="8"/>
      <c r="AL123" s="8"/>
      <c r="AM123" s="8"/>
    </row>
    <row r="124" spans="1:39" ht="49.9" customHeight="1" x14ac:dyDescent="0.3">
      <c r="A124" s="5" t="s">
        <v>244</v>
      </c>
      <c r="B124" s="5" t="s">
        <v>552</v>
      </c>
      <c r="C124" s="70">
        <v>662187484464</v>
      </c>
      <c r="D124" s="7" t="s">
        <v>584</v>
      </c>
      <c r="F124" s="5" t="str">
        <f t="shared" si="3"/>
        <v>IK-T8A0B-04-F0018-MV-D-40K-UD-00-WH-BFU-SF</v>
      </c>
      <c r="G124" s="8" t="s">
        <v>8</v>
      </c>
      <c r="H124" s="8" t="s">
        <v>7</v>
      </c>
      <c r="I124" s="8" t="s">
        <v>232</v>
      </c>
      <c r="J124" s="8" t="s">
        <v>231</v>
      </c>
      <c r="K124" s="8" t="s">
        <v>7</v>
      </c>
      <c r="L124" s="9" t="s">
        <v>32</v>
      </c>
      <c r="M124" s="8" t="s">
        <v>7</v>
      </c>
      <c r="N124" s="8" t="s">
        <v>35</v>
      </c>
      <c r="O124" s="8" t="s">
        <v>60</v>
      </c>
      <c r="P124" s="8" t="s">
        <v>7</v>
      </c>
      <c r="Q124" s="8" t="s">
        <v>10</v>
      </c>
      <c r="R124" s="8" t="s">
        <v>7</v>
      </c>
      <c r="S124" s="8" t="s">
        <v>11</v>
      </c>
      <c r="T124" s="8" t="s">
        <v>7</v>
      </c>
      <c r="U124" s="8" t="s">
        <v>41</v>
      </c>
      <c r="V124" s="8" t="s">
        <v>7</v>
      </c>
      <c r="W124" s="8" t="s">
        <v>48</v>
      </c>
      <c r="X124" s="8" t="s">
        <v>7</v>
      </c>
      <c r="Y124" s="10" t="s">
        <v>134</v>
      </c>
      <c r="Z124" s="8" t="s">
        <v>7</v>
      </c>
      <c r="AA124" s="8" t="s">
        <v>49</v>
      </c>
      <c r="AB124" s="8" t="s">
        <v>7</v>
      </c>
      <c r="AC124" s="8" t="s">
        <v>15</v>
      </c>
      <c r="AD124" s="8" t="s">
        <v>7</v>
      </c>
      <c r="AE124" s="8" t="s">
        <v>252</v>
      </c>
      <c r="AF124" s="8"/>
      <c r="AG124" s="8"/>
      <c r="AH124" s="8"/>
      <c r="AI124" s="8"/>
      <c r="AJ124" s="8"/>
      <c r="AK124" s="8"/>
      <c r="AL124" s="8"/>
      <c r="AM124" s="8"/>
    </row>
    <row r="125" spans="1:39" ht="49.9" customHeight="1" x14ac:dyDescent="0.3">
      <c r="A125" s="5" t="s">
        <v>244</v>
      </c>
      <c r="B125" s="5" t="s">
        <v>552</v>
      </c>
      <c r="D125" s="7" t="s">
        <v>584</v>
      </c>
      <c r="F125" s="5" t="str">
        <f t="shared" si="3"/>
        <v>IK-T8A0B-04-F0018-MV-D-50K-UD-00-WH-BFU-SF</v>
      </c>
      <c r="G125" s="8" t="s">
        <v>8</v>
      </c>
      <c r="H125" s="8" t="s">
        <v>7</v>
      </c>
      <c r="I125" s="8" t="s">
        <v>232</v>
      </c>
      <c r="J125" s="8" t="s">
        <v>231</v>
      </c>
      <c r="K125" s="8" t="s">
        <v>7</v>
      </c>
      <c r="L125" s="9" t="s">
        <v>32</v>
      </c>
      <c r="M125" s="8" t="s">
        <v>7</v>
      </c>
      <c r="N125" s="8" t="s">
        <v>35</v>
      </c>
      <c r="O125" s="8" t="s">
        <v>60</v>
      </c>
      <c r="P125" s="8" t="s">
        <v>7</v>
      </c>
      <c r="Q125" s="8" t="s">
        <v>10</v>
      </c>
      <c r="R125" s="8" t="s">
        <v>7</v>
      </c>
      <c r="S125" s="8" t="s">
        <v>11</v>
      </c>
      <c r="T125" s="8" t="s">
        <v>7</v>
      </c>
      <c r="U125" s="8" t="s">
        <v>43</v>
      </c>
      <c r="V125" s="8" t="s">
        <v>7</v>
      </c>
      <c r="W125" s="8" t="s">
        <v>48</v>
      </c>
      <c r="X125" s="8" t="s">
        <v>7</v>
      </c>
      <c r="Y125" s="10" t="s">
        <v>134</v>
      </c>
      <c r="Z125" s="8" t="s">
        <v>7</v>
      </c>
      <c r="AA125" s="8" t="s">
        <v>49</v>
      </c>
      <c r="AB125" s="8" t="s">
        <v>7</v>
      </c>
      <c r="AC125" s="8" t="s">
        <v>15</v>
      </c>
      <c r="AD125" s="8" t="s">
        <v>7</v>
      </c>
      <c r="AE125" s="8" t="s">
        <v>252</v>
      </c>
      <c r="AF125" s="8"/>
      <c r="AG125" s="8"/>
      <c r="AH125" s="8"/>
      <c r="AI125" s="8"/>
      <c r="AJ125" s="8"/>
      <c r="AK125" s="8"/>
      <c r="AL125" s="8"/>
      <c r="AM125" s="8"/>
    </row>
    <row r="126" spans="1:39" ht="49.9" customHeight="1" x14ac:dyDescent="0.3">
      <c r="A126" s="5" t="s">
        <v>409</v>
      </c>
      <c r="B126" s="5" t="s">
        <v>410</v>
      </c>
      <c r="D126" s="7" t="s">
        <v>420</v>
      </c>
      <c r="F126" s="5" t="str">
        <f t="shared" si="3"/>
        <v>IK-CNP1-01-S0050-MV-D-CCT-WD-09-BR-BFU-EM18SLF</v>
      </c>
      <c r="G126" s="8" t="s">
        <v>8</v>
      </c>
      <c r="H126" s="8" t="s">
        <v>7</v>
      </c>
      <c r="I126" s="8" t="s">
        <v>411</v>
      </c>
      <c r="J126" s="8">
        <v>1</v>
      </c>
      <c r="K126" s="8" t="s">
        <v>7</v>
      </c>
      <c r="L126" s="9" t="s">
        <v>27</v>
      </c>
      <c r="M126" s="8" t="s">
        <v>7</v>
      </c>
      <c r="N126" s="8" t="s">
        <v>21</v>
      </c>
      <c r="O126" s="8" t="s">
        <v>67</v>
      </c>
      <c r="P126" s="8" t="s">
        <v>7</v>
      </c>
      <c r="Q126" s="8" t="s">
        <v>10</v>
      </c>
      <c r="R126" s="8" t="s">
        <v>7</v>
      </c>
      <c r="S126" s="8" t="s">
        <v>11</v>
      </c>
      <c r="T126" s="8" t="s">
        <v>7</v>
      </c>
      <c r="U126" s="8" t="s">
        <v>12</v>
      </c>
      <c r="V126" s="8" t="s">
        <v>7</v>
      </c>
      <c r="W126" s="8" t="s">
        <v>13</v>
      </c>
      <c r="X126" s="8" t="s">
        <v>7</v>
      </c>
      <c r="Y126" s="10" t="s">
        <v>276</v>
      </c>
      <c r="Z126" s="8" t="s">
        <v>7</v>
      </c>
      <c r="AA126" s="8" t="s">
        <v>50</v>
      </c>
      <c r="AB126" s="8" t="s">
        <v>7</v>
      </c>
      <c r="AC126" s="8" t="s">
        <v>15</v>
      </c>
      <c r="AD126" s="8" t="s">
        <v>7</v>
      </c>
      <c r="AE126" s="8"/>
      <c r="AF126" s="8" t="s">
        <v>408</v>
      </c>
      <c r="AG126" s="8"/>
      <c r="AH126" s="8"/>
      <c r="AI126" s="8"/>
      <c r="AJ126" s="8" t="s">
        <v>506</v>
      </c>
      <c r="AK126" s="8"/>
      <c r="AL126" s="8"/>
      <c r="AM126" s="8"/>
    </row>
    <row r="127" spans="1:39" ht="49.9" customHeight="1" x14ac:dyDescent="0.3">
      <c r="A127" s="5" t="s">
        <v>409</v>
      </c>
      <c r="B127" s="5" t="s">
        <v>654</v>
      </c>
      <c r="D127" s="7" t="s">
        <v>655</v>
      </c>
      <c r="F127" s="5" t="str">
        <f t="shared" si="3"/>
        <v>IK-CNP3-01-S0080-MV-D-CCT-WD-09-BR-BFU</v>
      </c>
      <c r="G127" s="8" t="s">
        <v>8</v>
      </c>
      <c r="H127" s="8" t="s">
        <v>7</v>
      </c>
      <c r="I127" s="8" t="s">
        <v>411</v>
      </c>
      <c r="J127" s="8">
        <v>3</v>
      </c>
      <c r="K127" s="8" t="s">
        <v>7</v>
      </c>
      <c r="L127" s="9" t="s">
        <v>27</v>
      </c>
      <c r="M127" s="8" t="s">
        <v>7</v>
      </c>
      <c r="N127" s="8" t="s">
        <v>21</v>
      </c>
      <c r="O127" s="8" t="s">
        <v>70</v>
      </c>
      <c r="P127" s="8" t="s">
        <v>7</v>
      </c>
      <c r="Q127" s="8" t="s">
        <v>10</v>
      </c>
      <c r="R127" s="8" t="s">
        <v>7</v>
      </c>
      <c r="S127" s="8" t="s">
        <v>11</v>
      </c>
      <c r="T127" s="8" t="s">
        <v>7</v>
      </c>
      <c r="U127" s="8" t="s">
        <v>12</v>
      </c>
      <c r="V127" s="8" t="s">
        <v>7</v>
      </c>
      <c r="W127" s="8" t="s">
        <v>13</v>
      </c>
      <c r="X127" s="8" t="s">
        <v>7</v>
      </c>
      <c r="Y127" s="10" t="s">
        <v>276</v>
      </c>
      <c r="Z127" s="8" t="s">
        <v>7</v>
      </c>
      <c r="AA127" s="8" t="s">
        <v>50</v>
      </c>
      <c r="AB127" s="8" t="s">
        <v>7</v>
      </c>
      <c r="AC127" s="8" t="s">
        <v>15</v>
      </c>
      <c r="AE127" s="8"/>
      <c r="AF127" s="8"/>
      <c r="AG127" s="8"/>
      <c r="AH127" s="8"/>
      <c r="AI127" s="8"/>
      <c r="AJ127" s="8"/>
      <c r="AK127" s="8"/>
      <c r="AL127" s="8"/>
      <c r="AM127" s="8"/>
    </row>
    <row r="128" spans="1:39" ht="49.9" customHeight="1" x14ac:dyDescent="0.3">
      <c r="A128" s="5" t="s">
        <v>409</v>
      </c>
      <c r="B128" s="5" t="s">
        <v>606</v>
      </c>
      <c r="D128" s="7" t="s">
        <v>652</v>
      </c>
      <c r="F128" s="5" t="str">
        <f t="shared" si="3"/>
        <v>IK-CNP2-01-S0120-MV-D-CCT-WD-01-WH-BFU</v>
      </c>
      <c r="G128" s="8" t="s">
        <v>8</v>
      </c>
      <c r="H128" s="8" t="s">
        <v>7</v>
      </c>
      <c r="I128" s="8" t="s">
        <v>411</v>
      </c>
      <c r="J128" s="8">
        <v>2</v>
      </c>
      <c r="K128" s="8" t="s">
        <v>7</v>
      </c>
      <c r="L128" s="9" t="s">
        <v>27</v>
      </c>
      <c r="M128" s="8" t="s">
        <v>7</v>
      </c>
      <c r="N128" s="8" t="s">
        <v>21</v>
      </c>
      <c r="O128" s="8" t="s">
        <v>73</v>
      </c>
      <c r="P128" s="8" t="s">
        <v>7</v>
      </c>
      <c r="Q128" s="8" t="s">
        <v>10</v>
      </c>
      <c r="R128" s="8" t="s">
        <v>7</v>
      </c>
      <c r="S128" s="8" t="s">
        <v>11</v>
      </c>
      <c r="T128" s="8" t="s">
        <v>7</v>
      </c>
      <c r="U128" s="8" t="s">
        <v>12</v>
      </c>
      <c r="V128" s="8" t="s">
        <v>7</v>
      </c>
      <c r="W128" s="8" t="s">
        <v>13</v>
      </c>
      <c r="X128" s="8" t="s">
        <v>7</v>
      </c>
      <c r="Y128" s="10" t="s">
        <v>27</v>
      </c>
      <c r="Z128" s="8" t="s">
        <v>7</v>
      </c>
      <c r="AA128" s="8" t="s">
        <v>49</v>
      </c>
      <c r="AB128" s="8" t="s">
        <v>7</v>
      </c>
      <c r="AC128" s="8" t="s">
        <v>15</v>
      </c>
      <c r="AE128" s="8"/>
      <c r="AF128" s="8"/>
      <c r="AG128" s="8"/>
      <c r="AH128" s="8"/>
      <c r="AI128" s="8"/>
      <c r="AJ128" s="8"/>
      <c r="AK128" s="8"/>
      <c r="AL128" s="8"/>
      <c r="AM128" s="8"/>
    </row>
    <row r="129" spans="1:39" ht="49.9" customHeight="1" x14ac:dyDescent="0.3">
      <c r="A129" s="5" t="s">
        <v>409</v>
      </c>
      <c r="B129" s="5" t="s">
        <v>606</v>
      </c>
      <c r="D129" s="7" t="s">
        <v>651</v>
      </c>
      <c r="F129" s="5" t="str">
        <f t="shared" si="3"/>
        <v>IK-CNP2-01-S0150-MV-D-CCT-WD-01-WH-BFU</v>
      </c>
      <c r="G129" s="8" t="s">
        <v>8</v>
      </c>
      <c r="H129" s="8" t="s">
        <v>7</v>
      </c>
      <c r="I129" s="8" t="s">
        <v>411</v>
      </c>
      <c r="J129" s="8">
        <v>2</v>
      </c>
      <c r="K129" s="8" t="s">
        <v>7</v>
      </c>
      <c r="L129" s="9" t="s">
        <v>27</v>
      </c>
      <c r="M129" s="8" t="s">
        <v>7</v>
      </c>
      <c r="N129" s="8" t="s">
        <v>21</v>
      </c>
      <c r="O129" s="8" t="s">
        <v>74</v>
      </c>
      <c r="P129" s="8" t="s">
        <v>7</v>
      </c>
      <c r="Q129" s="8" t="s">
        <v>10</v>
      </c>
      <c r="R129" s="8" t="s">
        <v>7</v>
      </c>
      <c r="S129" s="8" t="s">
        <v>11</v>
      </c>
      <c r="T129" s="8" t="s">
        <v>7</v>
      </c>
      <c r="U129" s="8" t="s">
        <v>12</v>
      </c>
      <c r="V129" s="8" t="s">
        <v>7</v>
      </c>
      <c r="W129" s="8" t="s">
        <v>13</v>
      </c>
      <c r="X129" s="8" t="s">
        <v>7</v>
      </c>
      <c r="Y129" s="10" t="s">
        <v>27</v>
      </c>
      <c r="Z129" s="8" t="s">
        <v>7</v>
      </c>
      <c r="AA129" s="8" t="s">
        <v>49</v>
      </c>
      <c r="AB129" s="8" t="s">
        <v>7</v>
      </c>
      <c r="AC129" s="8" t="s">
        <v>15</v>
      </c>
      <c r="AE129" s="8"/>
      <c r="AF129" s="8"/>
      <c r="AG129" s="8"/>
      <c r="AH129" s="8"/>
      <c r="AI129" s="8"/>
      <c r="AJ129" s="8"/>
      <c r="AK129" s="8"/>
      <c r="AL129" s="8"/>
      <c r="AM129" s="8"/>
    </row>
    <row r="130" spans="1:39" ht="49.9" customHeight="1" x14ac:dyDescent="0.3">
      <c r="A130" s="5" t="s">
        <v>409</v>
      </c>
      <c r="B130" s="5" t="s">
        <v>606</v>
      </c>
      <c r="D130" s="7" t="s">
        <v>653</v>
      </c>
      <c r="F130" s="5" t="str">
        <f t="shared" si="3"/>
        <v>IK-CNP2-01-S0180-MV-D-CCT-WD-01-WH-BFU</v>
      </c>
      <c r="G130" s="8" t="s">
        <v>8</v>
      </c>
      <c r="H130" s="8" t="s">
        <v>7</v>
      </c>
      <c r="I130" s="8" t="s">
        <v>411</v>
      </c>
      <c r="J130" s="8">
        <v>2</v>
      </c>
      <c r="K130" s="8" t="s">
        <v>7</v>
      </c>
      <c r="L130" s="9" t="s">
        <v>27</v>
      </c>
      <c r="M130" s="8" t="s">
        <v>7</v>
      </c>
      <c r="N130" s="8" t="s">
        <v>21</v>
      </c>
      <c r="O130" s="8" t="s">
        <v>75</v>
      </c>
      <c r="P130" s="8" t="s">
        <v>7</v>
      </c>
      <c r="Q130" s="8" t="s">
        <v>10</v>
      </c>
      <c r="R130" s="8" t="s">
        <v>7</v>
      </c>
      <c r="S130" s="8" t="s">
        <v>11</v>
      </c>
      <c r="T130" s="8" t="s">
        <v>7</v>
      </c>
      <c r="U130" s="8" t="s">
        <v>12</v>
      </c>
      <c r="V130" s="8" t="s">
        <v>7</v>
      </c>
      <c r="W130" s="8" t="s">
        <v>13</v>
      </c>
      <c r="X130" s="8" t="s">
        <v>7</v>
      </c>
      <c r="Y130" s="10" t="s">
        <v>27</v>
      </c>
      <c r="Z130" s="8" t="s">
        <v>7</v>
      </c>
      <c r="AA130" s="8" t="s">
        <v>49</v>
      </c>
      <c r="AB130" s="8" t="s">
        <v>7</v>
      </c>
      <c r="AC130" s="8" t="s">
        <v>15</v>
      </c>
      <c r="AE130" s="8"/>
      <c r="AF130" s="8"/>
      <c r="AG130" s="8"/>
      <c r="AH130" s="8"/>
      <c r="AI130" s="8"/>
      <c r="AJ130" s="8"/>
      <c r="AK130" s="8"/>
      <c r="AL130" s="8"/>
      <c r="AM130" s="8"/>
    </row>
    <row r="131" spans="1:39" ht="49.9" customHeight="1" x14ac:dyDescent="0.3">
      <c r="A131" s="5" t="s">
        <v>418</v>
      </c>
      <c r="B131" s="5" t="s">
        <v>419</v>
      </c>
      <c r="D131" s="7" t="s">
        <v>575</v>
      </c>
      <c r="F131" s="5" t="str">
        <f>_xlfn.CONCAT(G131,H131,I131,J131,K131,L131,M131,N131,O131,P131,Q131,R131,S131,T131,U131,V131,W131,X131,Y131,Z131,AA131,AB131,AC131,AD131,AE131,AF131,AG131,AH131,AI131,AJ131,AK131,AL131,AM131)</f>
        <v>IK-CRL1-01-S0027-MV-D-CCT-UD-00-WH-BFU-E39</v>
      </c>
      <c r="G131" s="8" t="s">
        <v>8</v>
      </c>
      <c r="H131" s="8" t="s">
        <v>7</v>
      </c>
      <c r="I131" s="8" t="s">
        <v>430</v>
      </c>
      <c r="J131" s="8">
        <v>1</v>
      </c>
      <c r="K131" s="8" t="s">
        <v>7</v>
      </c>
      <c r="L131" s="9" t="s">
        <v>27</v>
      </c>
      <c r="M131" s="8" t="s">
        <v>7</v>
      </c>
      <c r="N131" s="8" t="s">
        <v>21</v>
      </c>
      <c r="O131" s="8" t="s">
        <v>576</v>
      </c>
      <c r="P131" s="8" t="s">
        <v>7</v>
      </c>
      <c r="Q131" s="8" t="s">
        <v>10</v>
      </c>
      <c r="R131" s="8" t="s">
        <v>7</v>
      </c>
      <c r="S131" s="8" t="s">
        <v>11</v>
      </c>
      <c r="T131" s="8" t="s">
        <v>7</v>
      </c>
      <c r="U131" s="8" t="s">
        <v>12</v>
      </c>
      <c r="V131" s="8" t="s">
        <v>7</v>
      </c>
      <c r="W131" s="8" t="s">
        <v>48</v>
      </c>
      <c r="X131" s="8" t="s">
        <v>7</v>
      </c>
      <c r="Y131" s="10" t="s">
        <v>134</v>
      </c>
      <c r="Z131" s="8" t="s">
        <v>7</v>
      </c>
      <c r="AA131" s="8" t="s">
        <v>49</v>
      </c>
      <c r="AB131" s="8" t="s">
        <v>7</v>
      </c>
      <c r="AC131" s="8" t="s">
        <v>15</v>
      </c>
      <c r="AD131" s="8" t="s">
        <v>7</v>
      </c>
      <c r="AE131" s="8"/>
      <c r="AF131" s="8"/>
      <c r="AG131" s="8"/>
      <c r="AH131" s="8"/>
      <c r="AI131" s="8"/>
      <c r="AJ131" s="8"/>
      <c r="AK131" s="8"/>
      <c r="AL131" s="8"/>
      <c r="AM131" s="8" t="s">
        <v>425</v>
      </c>
    </row>
    <row r="132" spans="1:39" ht="49.9" customHeight="1" x14ac:dyDescent="0.3">
      <c r="A132" s="5" t="s">
        <v>418</v>
      </c>
      <c r="B132" s="5" t="s">
        <v>419</v>
      </c>
      <c r="D132" s="7" t="s">
        <v>432</v>
      </c>
      <c r="F132" s="5" t="str">
        <f>_xlfn.CONCAT(G132,H132,I132,J132,K132,L132,M132,N132,O132,P132,Q132,R132,S132,T132,U132,V132,W132,X132,Y132,Z132,AA132,AB132,AC132,AD132,AE132,AF132,AG132,AH132,AI132,AJ132,AK132,AL132,AM132)</f>
        <v>IK-CRL1-01-S0054-MV-D-CCT-UD-00-WH-BFU-E39</v>
      </c>
      <c r="G132" s="8" t="s">
        <v>8</v>
      </c>
      <c r="H132" s="8" t="s">
        <v>7</v>
      </c>
      <c r="I132" s="8" t="s">
        <v>430</v>
      </c>
      <c r="J132" s="8">
        <v>1</v>
      </c>
      <c r="K132" s="8" t="s">
        <v>7</v>
      </c>
      <c r="L132" s="9" t="s">
        <v>27</v>
      </c>
      <c r="M132" s="8" t="s">
        <v>7</v>
      </c>
      <c r="N132" s="8" t="s">
        <v>21</v>
      </c>
      <c r="O132" s="8" t="s">
        <v>431</v>
      </c>
      <c r="P132" s="8" t="s">
        <v>7</v>
      </c>
      <c r="Q132" s="8" t="s">
        <v>10</v>
      </c>
      <c r="R132" s="8" t="s">
        <v>7</v>
      </c>
      <c r="S132" s="8" t="s">
        <v>11</v>
      </c>
      <c r="T132" s="8" t="s">
        <v>7</v>
      </c>
      <c r="U132" s="8" t="s">
        <v>12</v>
      </c>
      <c r="V132" s="8" t="s">
        <v>7</v>
      </c>
      <c r="W132" s="8" t="s">
        <v>48</v>
      </c>
      <c r="X132" s="8" t="s">
        <v>7</v>
      </c>
      <c r="Y132" s="10" t="s">
        <v>134</v>
      </c>
      <c r="Z132" s="8" t="s">
        <v>7</v>
      </c>
      <c r="AA132" s="8" t="s">
        <v>49</v>
      </c>
      <c r="AB132" s="8" t="s">
        <v>7</v>
      </c>
      <c r="AC132" s="8" t="s">
        <v>15</v>
      </c>
      <c r="AD132" s="8" t="s">
        <v>7</v>
      </c>
      <c r="AE132" s="8"/>
      <c r="AF132" s="8"/>
      <c r="AG132" s="8"/>
      <c r="AH132" s="8"/>
      <c r="AI132" s="8"/>
      <c r="AJ132" s="8"/>
      <c r="AK132" s="8"/>
      <c r="AL132" s="8"/>
      <c r="AM132" s="8" t="s">
        <v>425</v>
      </c>
    </row>
    <row r="133" spans="1:39" ht="49.9" customHeight="1" x14ac:dyDescent="0.3">
      <c r="A133" s="5" t="s">
        <v>418</v>
      </c>
      <c r="B133" s="5" t="s">
        <v>419</v>
      </c>
      <c r="D133" s="7" t="s">
        <v>433</v>
      </c>
      <c r="F133" s="5" t="str">
        <f>_xlfn.CONCAT(G133,H133,I133,J133,K133,L133,M133,N133,O133,P133,Q133,R133,S133,T133,U133,V133,W133,X133,Y133,Z133,AA133,AB133,AC133,AD133,AE133,AF133,AG133,AH133,AI133,AJ133,AK133,AL133,AM133)</f>
        <v>IK-CRL1-02-S0120-MV-D-CCT-UD-00-WH-BFU-E39</v>
      </c>
      <c r="G133" s="8" t="s">
        <v>8</v>
      </c>
      <c r="H133" s="8" t="s">
        <v>7</v>
      </c>
      <c r="I133" s="8" t="s">
        <v>430</v>
      </c>
      <c r="J133" s="8">
        <v>1</v>
      </c>
      <c r="K133" s="8" t="s">
        <v>7</v>
      </c>
      <c r="L133" s="9" t="s">
        <v>9</v>
      </c>
      <c r="M133" s="8" t="s">
        <v>7</v>
      </c>
      <c r="N133" s="8" t="s">
        <v>21</v>
      </c>
      <c r="O133" s="8" t="s">
        <v>73</v>
      </c>
      <c r="P133" s="8" t="s">
        <v>7</v>
      </c>
      <c r="Q133" s="8" t="s">
        <v>10</v>
      </c>
      <c r="R133" s="8" t="s">
        <v>7</v>
      </c>
      <c r="S133" s="8" t="s">
        <v>11</v>
      </c>
      <c r="T133" s="8" t="s">
        <v>7</v>
      </c>
      <c r="U133" s="8" t="s">
        <v>12</v>
      </c>
      <c r="V133" s="8" t="s">
        <v>7</v>
      </c>
      <c r="W133" s="8" t="s">
        <v>48</v>
      </c>
      <c r="X133" s="8" t="s">
        <v>7</v>
      </c>
      <c r="Y133" s="10" t="s">
        <v>134</v>
      </c>
      <c r="Z133" s="8" t="s">
        <v>7</v>
      </c>
      <c r="AA133" s="8" t="s">
        <v>49</v>
      </c>
      <c r="AB133" s="8" t="s">
        <v>7</v>
      </c>
      <c r="AC133" s="8" t="s">
        <v>15</v>
      </c>
      <c r="AD133" s="8" t="s">
        <v>7</v>
      </c>
      <c r="AE133" s="8"/>
      <c r="AF133" s="8"/>
      <c r="AG133" s="8"/>
      <c r="AH133" s="8"/>
      <c r="AI133" s="8"/>
      <c r="AJ133" s="8"/>
      <c r="AK133" s="8"/>
      <c r="AL133" s="8"/>
      <c r="AM133" s="8" t="s">
        <v>425</v>
      </c>
    </row>
    <row r="134" spans="1:39" ht="49.9" customHeight="1" x14ac:dyDescent="0.3">
      <c r="A134" s="5" t="s">
        <v>244</v>
      </c>
      <c r="B134" s="5" t="s">
        <v>253</v>
      </c>
      <c r="D134" s="7" t="s">
        <v>437</v>
      </c>
      <c r="F134" s="5" t="str">
        <f>_xlfn.CONCAT(G134,H134,I134,J134,K134,L134,M134,N134,O134,P134,Q134,R134,S134,T134,U134,V134,W134,X134,Y134,Z134,AA134,AB134,AC134,AD134,AE134,AF134,AG134,AH134,AI134,AJ134,AK134,AL134)</f>
        <v>IK-T5G0C-04-F0015-MV-D-40K-UD-00-WH-BFU-SF</v>
      </c>
      <c r="G134" s="8" t="s">
        <v>8</v>
      </c>
      <c r="H134" s="8" t="s">
        <v>7</v>
      </c>
      <c r="I134" s="8" t="s">
        <v>235</v>
      </c>
      <c r="J134" s="8" t="s">
        <v>243</v>
      </c>
      <c r="K134" s="8" t="s">
        <v>7</v>
      </c>
      <c r="L134" s="9" t="s">
        <v>32</v>
      </c>
      <c r="M134" s="8" t="s">
        <v>7</v>
      </c>
      <c r="N134" s="8" t="s">
        <v>35</v>
      </c>
      <c r="O134" s="8" t="s">
        <v>59</v>
      </c>
      <c r="P134" s="8" t="s">
        <v>7</v>
      </c>
      <c r="Q134" s="8" t="s">
        <v>10</v>
      </c>
      <c r="R134" s="8" t="s">
        <v>7</v>
      </c>
      <c r="S134" s="8" t="s">
        <v>11</v>
      </c>
      <c r="T134" s="8" t="s">
        <v>7</v>
      </c>
      <c r="U134" s="8" t="s">
        <v>41</v>
      </c>
      <c r="V134" s="8" t="s">
        <v>7</v>
      </c>
      <c r="W134" s="8" t="s">
        <v>48</v>
      </c>
      <c r="X134" s="8" t="s">
        <v>7</v>
      </c>
      <c r="Y134" s="10" t="s">
        <v>134</v>
      </c>
      <c r="Z134" s="8" t="s">
        <v>7</v>
      </c>
      <c r="AA134" s="8" t="s">
        <v>49</v>
      </c>
      <c r="AB134" s="8" t="s">
        <v>7</v>
      </c>
      <c r="AC134" s="8" t="s">
        <v>15</v>
      </c>
      <c r="AD134" s="8" t="s">
        <v>7</v>
      </c>
      <c r="AE134" s="8" t="s">
        <v>252</v>
      </c>
      <c r="AF134" s="8"/>
      <c r="AG134" s="8"/>
      <c r="AH134" s="8"/>
      <c r="AI134" s="8"/>
      <c r="AJ134" s="8"/>
      <c r="AK134" s="8"/>
      <c r="AL134" s="8"/>
      <c r="AM134" s="8"/>
    </row>
    <row r="135" spans="1:39" ht="49.9" customHeight="1" x14ac:dyDescent="0.3">
      <c r="A135" s="5" t="s">
        <v>244</v>
      </c>
      <c r="B135" s="5" t="s">
        <v>253</v>
      </c>
      <c r="D135" s="7" t="s">
        <v>438</v>
      </c>
      <c r="F135" s="5" t="str">
        <f>_xlfn.CONCAT(G135,H135,I135,J135,K135,L135,M135,N135,O135,P135,Q135,R135,S135,T135,U135,V135,W135,X135,Y135,Z135,AA135,AB135,AC135,AD135,AE135,AF135,AG135,AH135,AI135,AJ135,AK135,AL135)</f>
        <v>IK-T8G0C-02-F0009-MV-D-40K-UD-00-WH-BFU-SFXL</v>
      </c>
      <c r="G135" s="8" t="s">
        <v>8</v>
      </c>
      <c r="H135" s="8" t="s">
        <v>7</v>
      </c>
      <c r="I135" s="8" t="s">
        <v>234</v>
      </c>
      <c r="J135" s="8" t="s">
        <v>243</v>
      </c>
      <c r="K135" s="8" t="s">
        <v>7</v>
      </c>
      <c r="L135" s="9" t="s">
        <v>9</v>
      </c>
      <c r="M135" s="8" t="s">
        <v>7</v>
      </c>
      <c r="N135" s="8" t="s">
        <v>35</v>
      </c>
      <c r="O135" s="8" t="s">
        <v>137</v>
      </c>
      <c r="P135" s="8" t="s">
        <v>7</v>
      </c>
      <c r="Q135" s="8" t="s">
        <v>10</v>
      </c>
      <c r="R135" s="8" t="s">
        <v>7</v>
      </c>
      <c r="S135" s="8" t="s">
        <v>11</v>
      </c>
      <c r="T135" s="8" t="s">
        <v>7</v>
      </c>
      <c r="U135" s="8" t="s">
        <v>41</v>
      </c>
      <c r="V135" s="8" t="s">
        <v>7</v>
      </c>
      <c r="W135" s="8" t="s">
        <v>48</v>
      </c>
      <c r="X135" s="8" t="s">
        <v>7</v>
      </c>
      <c r="Y135" s="10" t="s">
        <v>134</v>
      </c>
      <c r="Z135" s="8" t="s">
        <v>7</v>
      </c>
      <c r="AA135" s="8" t="s">
        <v>49</v>
      </c>
      <c r="AB135" s="8" t="s">
        <v>7</v>
      </c>
      <c r="AC135" s="8" t="s">
        <v>15</v>
      </c>
      <c r="AD135" s="8" t="s">
        <v>7</v>
      </c>
      <c r="AE135" s="8" t="s">
        <v>252</v>
      </c>
      <c r="AF135" s="8"/>
      <c r="AG135" s="8"/>
      <c r="AH135" s="8"/>
      <c r="AI135" s="8"/>
      <c r="AJ135" s="8"/>
      <c r="AK135" s="8"/>
      <c r="AL135" s="8" t="s">
        <v>450</v>
      </c>
      <c r="AM135" s="8"/>
    </row>
    <row r="136" spans="1:39" ht="49.9" customHeight="1" x14ac:dyDescent="0.3">
      <c r="A136" s="5" t="s">
        <v>244</v>
      </c>
      <c r="B136" s="5" t="s">
        <v>253</v>
      </c>
      <c r="D136" s="7" t="s">
        <v>454</v>
      </c>
      <c r="F136" s="5" t="str">
        <f>_xlfn.CONCAT(G136,H136,I136,J136,K136,L136,M136,N136,O136,P136,Q136,R136,S136,T136,U136,V136,W136,X136,Y136,Z136,AA136,AB136,AC136,AD136,AE136,AF136,AG136,AH136,AI136,AJ136,AK136,AL136)</f>
        <v>IK-T8G0C-04-F0013.5-MV-D-40K-UD-00-WH-BFU-SFXL</v>
      </c>
      <c r="G136" s="8" t="s">
        <v>8</v>
      </c>
      <c r="H136" s="8" t="s">
        <v>7</v>
      </c>
      <c r="I136" s="8" t="s">
        <v>234</v>
      </c>
      <c r="J136" s="8" t="s">
        <v>243</v>
      </c>
      <c r="K136" s="8" t="s">
        <v>7</v>
      </c>
      <c r="L136" s="9" t="s">
        <v>32</v>
      </c>
      <c r="M136" s="8" t="s">
        <v>7</v>
      </c>
      <c r="N136" s="8" t="s">
        <v>35</v>
      </c>
      <c r="O136" s="8" t="s">
        <v>453</v>
      </c>
      <c r="P136" s="8" t="s">
        <v>7</v>
      </c>
      <c r="Q136" s="8" t="s">
        <v>10</v>
      </c>
      <c r="R136" s="8" t="s">
        <v>7</v>
      </c>
      <c r="S136" s="8" t="s">
        <v>11</v>
      </c>
      <c r="T136" s="8" t="s">
        <v>7</v>
      </c>
      <c r="U136" s="8" t="s">
        <v>41</v>
      </c>
      <c r="V136" s="8" t="s">
        <v>7</v>
      </c>
      <c r="W136" s="8" t="s">
        <v>48</v>
      </c>
      <c r="X136" s="8" t="s">
        <v>7</v>
      </c>
      <c r="Y136" s="10" t="s">
        <v>134</v>
      </c>
      <c r="Z136" s="8" t="s">
        <v>7</v>
      </c>
      <c r="AA136" s="8" t="s">
        <v>49</v>
      </c>
      <c r="AB136" s="8" t="s">
        <v>7</v>
      </c>
      <c r="AC136" s="8" t="s">
        <v>15</v>
      </c>
      <c r="AD136" s="8" t="s">
        <v>7</v>
      </c>
      <c r="AE136" s="8" t="s">
        <v>252</v>
      </c>
      <c r="AF136" s="8"/>
      <c r="AG136" s="8"/>
      <c r="AH136" s="8"/>
      <c r="AI136" s="8"/>
      <c r="AJ136" s="8"/>
      <c r="AK136" s="8"/>
      <c r="AL136" s="8" t="s">
        <v>450</v>
      </c>
      <c r="AM136" s="8"/>
    </row>
    <row r="137" spans="1:39" ht="49.9" customHeight="1" x14ac:dyDescent="0.3">
      <c r="A137" s="5" t="s">
        <v>475</v>
      </c>
      <c r="B137" s="5" t="s">
        <v>476</v>
      </c>
      <c r="D137" s="7" t="s">
        <v>484</v>
      </c>
      <c r="F137" s="5" t="str">
        <f t="shared" ref="F137:F181" si="4">_xlfn.CONCAT(G137,H137,I137,J137,K137,L137,M137,N137,O137,P137,Q137,R137,S137,T137,U137,V137,W137,X137,Y137,Z137,AA137,AB137,AC137,AD137,AE137,AF137,AG137,AH137,AI137,AJ137,AK137,AL137,AM137)</f>
        <v>IK-PLL1-01-F0008-MV-D-CCT-UD-00-WH-BFU-SFG24</v>
      </c>
      <c r="G137" s="8" t="s">
        <v>8</v>
      </c>
      <c r="H137" s="8" t="s">
        <v>7</v>
      </c>
      <c r="I137" s="8" t="s">
        <v>483</v>
      </c>
      <c r="J137" s="8">
        <v>1</v>
      </c>
      <c r="K137" s="8" t="s">
        <v>7</v>
      </c>
      <c r="L137" s="9" t="s">
        <v>27</v>
      </c>
      <c r="M137" s="8" t="s">
        <v>7</v>
      </c>
      <c r="N137" s="8" t="s">
        <v>35</v>
      </c>
      <c r="O137" s="8" t="s">
        <v>56</v>
      </c>
      <c r="P137" s="8" t="s">
        <v>7</v>
      </c>
      <c r="Q137" s="8" t="s">
        <v>10</v>
      </c>
      <c r="R137" s="8" t="s">
        <v>7</v>
      </c>
      <c r="S137" s="8" t="s">
        <v>11</v>
      </c>
      <c r="T137" s="8" t="s">
        <v>7</v>
      </c>
      <c r="U137" s="8" t="s">
        <v>12</v>
      </c>
      <c r="V137" s="8" t="s">
        <v>7</v>
      </c>
      <c r="W137" s="8" t="s">
        <v>48</v>
      </c>
      <c r="X137" s="8" t="s">
        <v>7</v>
      </c>
      <c r="Y137" s="10" t="s">
        <v>134</v>
      </c>
      <c r="Z137" s="8" t="s">
        <v>7</v>
      </c>
      <c r="AA137" s="8" t="s">
        <v>49</v>
      </c>
      <c r="AB137" s="8" t="s">
        <v>7</v>
      </c>
      <c r="AC137" s="8" t="s">
        <v>15</v>
      </c>
      <c r="AD137" s="8" t="s">
        <v>7</v>
      </c>
      <c r="AE137" s="8" t="s">
        <v>252</v>
      </c>
      <c r="AF137" s="8"/>
      <c r="AG137" s="8"/>
      <c r="AH137" s="8"/>
      <c r="AI137" s="8"/>
      <c r="AJ137" s="8"/>
      <c r="AK137" s="8"/>
      <c r="AL137" s="8"/>
      <c r="AM137" s="8" t="s">
        <v>485</v>
      </c>
    </row>
    <row r="138" spans="1:39" ht="49.9" customHeight="1" x14ac:dyDescent="0.3">
      <c r="A138" s="5" t="s">
        <v>486</v>
      </c>
      <c r="B138" s="5" t="s">
        <v>487</v>
      </c>
      <c r="D138" s="7" t="s">
        <v>488</v>
      </c>
      <c r="F138" s="5" t="str">
        <f t="shared" si="4"/>
        <v>IK-MGS1-22-F0015-MV-D-35K-WD-05-WH-BFU-SF</v>
      </c>
      <c r="G138" s="8" t="s">
        <v>8</v>
      </c>
      <c r="H138" s="8" t="s">
        <v>7</v>
      </c>
      <c r="I138" s="8" t="s">
        <v>494</v>
      </c>
      <c r="J138" s="8">
        <v>1</v>
      </c>
      <c r="K138" s="8" t="s">
        <v>7</v>
      </c>
      <c r="L138" s="9" t="s">
        <v>88</v>
      </c>
      <c r="M138" s="8" t="s">
        <v>7</v>
      </c>
      <c r="N138" s="8" t="s">
        <v>35</v>
      </c>
      <c r="O138" s="8" t="s">
        <v>59</v>
      </c>
      <c r="P138" s="8" t="s">
        <v>7</v>
      </c>
      <c r="Q138" s="8" t="s">
        <v>10</v>
      </c>
      <c r="R138" s="8" t="s">
        <v>7</v>
      </c>
      <c r="S138" s="8" t="s">
        <v>11</v>
      </c>
      <c r="T138" s="8" t="s">
        <v>7</v>
      </c>
      <c r="U138" s="8" t="s">
        <v>40</v>
      </c>
      <c r="V138" s="8" t="s">
        <v>7</v>
      </c>
      <c r="W138" s="8" t="s">
        <v>13</v>
      </c>
      <c r="X138" s="8" t="s">
        <v>7</v>
      </c>
      <c r="Y138" s="10" t="s">
        <v>33</v>
      </c>
      <c r="Z138" s="8" t="s">
        <v>7</v>
      </c>
      <c r="AA138" s="8" t="s">
        <v>49</v>
      </c>
      <c r="AB138" s="8" t="s">
        <v>7</v>
      </c>
      <c r="AC138" s="8" t="s">
        <v>15</v>
      </c>
      <c r="AD138" s="8" t="s">
        <v>7</v>
      </c>
      <c r="AE138" s="8" t="s">
        <v>252</v>
      </c>
      <c r="AF138" s="8"/>
      <c r="AG138" s="8"/>
      <c r="AH138" s="8"/>
      <c r="AI138" s="8"/>
      <c r="AJ138" s="8"/>
      <c r="AK138" s="8"/>
      <c r="AL138" s="8"/>
      <c r="AM138" s="8"/>
    </row>
    <row r="139" spans="1:39" ht="49.9" customHeight="1" x14ac:dyDescent="0.3">
      <c r="A139" s="5" t="s">
        <v>486</v>
      </c>
      <c r="B139" s="5" t="s">
        <v>507</v>
      </c>
      <c r="D139" s="7" t="s">
        <v>512</v>
      </c>
      <c r="F139" s="5" t="str">
        <f t="shared" si="4"/>
        <v>IK-MGS1-23-F0030-MV-D-35K-WD-05-WH-BFU-SF</v>
      </c>
      <c r="G139" s="8" t="s">
        <v>8</v>
      </c>
      <c r="H139" s="8" t="s">
        <v>7</v>
      </c>
      <c r="I139" s="8" t="s">
        <v>494</v>
      </c>
      <c r="J139" s="8">
        <v>1</v>
      </c>
      <c r="K139" s="8" t="s">
        <v>7</v>
      </c>
      <c r="L139" s="9" t="s">
        <v>495</v>
      </c>
      <c r="M139" s="8" t="s">
        <v>7</v>
      </c>
      <c r="N139" s="8" t="s">
        <v>35</v>
      </c>
      <c r="O139" s="8" t="s">
        <v>65</v>
      </c>
      <c r="P139" s="8" t="s">
        <v>7</v>
      </c>
      <c r="Q139" s="8" t="s">
        <v>10</v>
      </c>
      <c r="R139" s="8" t="s">
        <v>7</v>
      </c>
      <c r="S139" s="8" t="s">
        <v>11</v>
      </c>
      <c r="T139" s="8" t="s">
        <v>7</v>
      </c>
      <c r="U139" s="8" t="s">
        <v>40</v>
      </c>
      <c r="V139" s="8" t="s">
        <v>7</v>
      </c>
      <c r="W139" s="8" t="s">
        <v>13</v>
      </c>
      <c r="X139" s="8" t="s">
        <v>7</v>
      </c>
      <c r="Y139" s="10" t="s">
        <v>33</v>
      </c>
      <c r="Z139" s="8" t="s">
        <v>7</v>
      </c>
      <c r="AA139" s="8" t="s">
        <v>49</v>
      </c>
      <c r="AB139" s="8" t="s">
        <v>7</v>
      </c>
      <c r="AC139" s="8" t="s">
        <v>15</v>
      </c>
      <c r="AD139" s="8" t="s">
        <v>7</v>
      </c>
      <c r="AE139" s="8" t="s">
        <v>252</v>
      </c>
      <c r="AF139" s="8"/>
      <c r="AG139" s="8"/>
      <c r="AH139" s="8"/>
      <c r="AI139" s="8"/>
      <c r="AJ139" s="8"/>
      <c r="AK139" s="8"/>
      <c r="AL139" s="8"/>
      <c r="AM139" s="8"/>
    </row>
    <row r="140" spans="1:39" ht="49.9" customHeight="1" x14ac:dyDescent="0.3">
      <c r="A140" s="5" t="s">
        <v>486</v>
      </c>
      <c r="B140" s="5" t="s">
        <v>509</v>
      </c>
      <c r="D140" s="7" t="s">
        <v>508</v>
      </c>
      <c r="F140" s="5" t="str">
        <f t="shared" si="4"/>
        <v>IK-MGS1-41-F0015-MV-D-35K-WD-05-WH-BFU-SF</v>
      </c>
      <c r="G140" s="8" t="s">
        <v>8</v>
      </c>
      <c r="H140" s="8" t="s">
        <v>7</v>
      </c>
      <c r="I140" s="8" t="s">
        <v>494</v>
      </c>
      <c r="J140" s="8">
        <v>1</v>
      </c>
      <c r="K140" s="8" t="s">
        <v>7</v>
      </c>
      <c r="L140" s="9" t="s">
        <v>498</v>
      </c>
      <c r="M140" s="8" t="s">
        <v>7</v>
      </c>
      <c r="N140" s="8" t="s">
        <v>35</v>
      </c>
      <c r="O140" s="8" t="s">
        <v>59</v>
      </c>
      <c r="P140" s="8" t="s">
        <v>7</v>
      </c>
      <c r="Q140" s="8" t="s">
        <v>10</v>
      </c>
      <c r="R140" s="8" t="s">
        <v>7</v>
      </c>
      <c r="S140" s="8" t="s">
        <v>11</v>
      </c>
      <c r="T140" s="8" t="s">
        <v>7</v>
      </c>
      <c r="U140" s="8" t="s">
        <v>40</v>
      </c>
      <c r="V140" s="8" t="s">
        <v>7</v>
      </c>
      <c r="W140" s="8" t="s">
        <v>13</v>
      </c>
      <c r="X140" s="8" t="s">
        <v>7</v>
      </c>
      <c r="Y140" s="10" t="s">
        <v>33</v>
      </c>
      <c r="Z140" s="8" t="s">
        <v>7</v>
      </c>
      <c r="AA140" s="8" t="s">
        <v>49</v>
      </c>
      <c r="AB140" s="8" t="s">
        <v>7</v>
      </c>
      <c r="AC140" s="8" t="s">
        <v>15</v>
      </c>
      <c r="AD140" s="8" t="s">
        <v>7</v>
      </c>
      <c r="AE140" s="8" t="s">
        <v>252</v>
      </c>
      <c r="AF140" s="8"/>
      <c r="AG140" s="8"/>
      <c r="AH140" s="8"/>
      <c r="AI140" s="8"/>
      <c r="AJ140" s="8"/>
      <c r="AK140" s="8"/>
      <c r="AL140" s="8"/>
      <c r="AM140" s="8"/>
    </row>
    <row r="141" spans="1:39" ht="49.9" customHeight="1" x14ac:dyDescent="0.3">
      <c r="A141" s="5" t="s">
        <v>486</v>
      </c>
      <c r="B141" s="5" t="s">
        <v>515</v>
      </c>
      <c r="D141" s="7" t="s">
        <v>511</v>
      </c>
      <c r="F141" s="5" t="str">
        <f t="shared" si="4"/>
        <v>IK-MGS1-42-S0040-MV-D-35K-WD-05-WH-BFU-SF</v>
      </c>
      <c r="G141" s="8" t="s">
        <v>8</v>
      </c>
      <c r="H141" s="8" t="s">
        <v>7</v>
      </c>
      <c r="I141" s="8" t="s">
        <v>494</v>
      </c>
      <c r="J141" s="8">
        <v>1</v>
      </c>
      <c r="K141" s="8" t="s">
        <v>7</v>
      </c>
      <c r="L141" s="9" t="s">
        <v>500</v>
      </c>
      <c r="M141" s="8" t="s">
        <v>7</v>
      </c>
      <c r="N141" s="8" t="s">
        <v>21</v>
      </c>
      <c r="O141" s="8" t="s">
        <v>66</v>
      </c>
      <c r="P141" s="8" t="s">
        <v>7</v>
      </c>
      <c r="Q141" s="8" t="s">
        <v>10</v>
      </c>
      <c r="R141" s="8" t="s">
        <v>7</v>
      </c>
      <c r="S141" s="8" t="s">
        <v>11</v>
      </c>
      <c r="T141" s="8" t="s">
        <v>7</v>
      </c>
      <c r="U141" s="8" t="s">
        <v>40</v>
      </c>
      <c r="V141" s="8" t="s">
        <v>7</v>
      </c>
      <c r="W141" s="8" t="s">
        <v>13</v>
      </c>
      <c r="X141" s="8" t="s">
        <v>7</v>
      </c>
      <c r="Y141" s="10" t="s">
        <v>33</v>
      </c>
      <c r="Z141" s="8" t="s">
        <v>7</v>
      </c>
      <c r="AA141" s="8" t="s">
        <v>49</v>
      </c>
      <c r="AB141" s="8" t="s">
        <v>7</v>
      </c>
      <c r="AC141" s="8" t="s">
        <v>15</v>
      </c>
      <c r="AD141" s="8" t="s">
        <v>7</v>
      </c>
      <c r="AE141" s="8" t="s">
        <v>252</v>
      </c>
      <c r="AF141" s="8"/>
      <c r="AG141" s="8"/>
      <c r="AH141" s="8"/>
      <c r="AI141" s="8"/>
      <c r="AJ141" s="8"/>
      <c r="AK141" s="8"/>
      <c r="AL141" s="8"/>
      <c r="AM141" s="8"/>
    </row>
    <row r="142" spans="1:39" ht="49.9" customHeight="1" x14ac:dyDescent="0.3">
      <c r="A142" s="5" t="s">
        <v>486</v>
      </c>
      <c r="B142" s="5" t="s">
        <v>510</v>
      </c>
      <c r="D142" s="7" t="s">
        <v>513</v>
      </c>
      <c r="F142" s="5" t="str">
        <f t="shared" si="4"/>
        <v>IK-MGS1-43-S0045-MV-D-35K-WD-05-WH-BFU-SF</v>
      </c>
      <c r="G142" s="8" t="s">
        <v>8</v>
      </c>
      <c r="H142" s="8" t="s">
        <v>7</v>
      </c>
      <c r="I142" s="8" t="s">
        <v>494</v>
      </c>
      <c r="J142" s="8">
        <v>1</v>
      </c>
      <c r="K142" s="8" t="s">
        <v>7</v>
      </c>
      <c r="L142" s="9" t="s">
        <v>502</v>
      </c>
      <c r="M142" s="8" t="s">
        <v>7</v>
      </c>
      <c r="N142" s="8" t="s">
        <v>21</v>
      </c>
      <c r="O142" s="8" t="s">
        <v>514</v>
      </c>
      <c r="P142" s="8" t="s">
        <v>7</v>
      </c>
      <c r="Q142" s="8" t="s">
        <v>10</v>
      </c>
      <c r="R142" s="8" t="s">
        <v>7</v>
      </c>
      <c r="S142" s="8" t="s">
        <v>11</v>
      </c>
      <c r="T142" s="8" t="s">
        <v>7</v>
      </c>
      <c r="U142" s="8" t="s">
        <v>40</v>
      </c>
      <c r="V142" s="8" t="s">
        <v>7</v>
      </c>
      <c r="W142" s="8" t="s">
        <v>13</v>
      </c>
      <c r="X142" s="8" t="s">
        <v>7</v>
      </c>
      <c r="Y142" s="10" t="s">
        <v>33</v>
      </c>
      <c r="Z142" s="8" t="s">
        <v>7</v>
      </c>
      <c r="AA142" s="8" t="s">
        <v>49</v>
      </c>
      <c r="AB142" s="8" t="s">
        <v>7</v>
      </c>
      <c r="AC142" s="8" t="s">
        <v>15</v>
      </c>
      <c r="AD142" s="8" t="s">
        <v>7</v>
      </c>
      <c r="AE142" s="8" t="s">
        <v>252</v>
      </c>
      <c r="AF142" s="8"/>
      <c r="AG142" s="8"/>
      <c r="AH142" s="8"/>
      <c r="AI142" s="8"/>
      <c r="AJ142" s="8"/>
      <c r="AK142" s="8"/>
      <c r="AL142" s="8"/>
      <c r="AM142" s="8"/>
    </row>
    <row r="143" spans="1:39" ht="49.9" customHeight="1" x14ac:dyDescent="0.3">
      <c r="A143" s="5" t="s">
        <v>486</v>
      </c>
      <c r="B143" s="5" t="s">
        <v>516</v>
      </c>
      <c r="D143" s="7" t="s">
        <v>517</v>
      </c>
      <c r="F143" s="5" t="str">
        <f t="shared" si="4"/>
        <v>IK-MGS1-44-S0060-MV-D-35K-WD-05-WH-BFU-SF</v>
      </c>
      <c r="G143" s="8" t="s">
        <v>8</v>
      </c>
      <c r="H143" s="8" t="s">
        <v>7</v>
      </c>
      <c r="I143" s="8" t="s">
        <v>494</v>
      </c>
      <c r="J143" s="8">
        <v>1</v>
      </c>
      <c r="K143" s="8" t="s">
        <v>7</v>
      </c>
      <c r="L143" s="9" t="s">
        <v>504</v>
      </c>
      <c r="M143" s="8" t="s">
        <v>7</v>
      </c>
      <c r="N143" s="8" t="s">
        <v>21</v>
      </c>
      <c r="O143" s="8" t="s">
        <v>68</v>
      </c>
      <c r="P143" s="8" t="s">
        <v>7</v>
      </c>
      <c r="Q143" s="8" t="s">
        <v>10</v>
      </c>
      <c r="R143" s="8" t="s">
        <v>7</v>
      </c>
      <c r="S143" s="8" t="s">
        <v>11</v>
      </c>
      <c r="T143" s="8" t="s">
        <v>7</v>
      </c>
      <c r="U143" s="8" t="s">
        <v>40</v>
      </c>
      <c r="V143" s="8" t="s">
        <v>7</v>
      </c>
      <c r="W143" s="8" t="s">
        <v>13</v>
      </c>
      <c r="X143" s="8" t="s">
        <v>7</v>
      </c>
      <c r="Y143" s="10" t="s">
        <v>33</v>
      </c>
      <c r="Z143" s="8" t="s">
        <v>7</v>
      </c>
      <c r="AA143" s="8" t="s">
        <v>49</v>
      </c>
      <c r="AB143" s="8" t="s">
        <v>7</v>
      </c>
      <c r="AC143" s="8" t="s">
        <v>15</v>
      </c>
      <c r="AD143" s="8" t="s">
        <v>7</v>
      </c>
      <c r="AE143" s="8" t="s">
        <v>252</v>
      </c>
      <c r="AF143" s="8"/>
      <c r="AG143" s="8"/>
      <c r="AH143" s="8"/>
      <c r="AI143" s="8"/>
      <c r="AJ143" s="8"/>
      <c r="AK143" s="8"/>
      <c r="AL143" s="8"/>
      <c r="AM143" s="8"/>
    </row>
    <row r="144" spans="1:39" ht="49.9" customHeight="1" x14ac:dyDescent="0.3">
      <c r="A144" s="5" t="s">
        <v>486</v>
      </c>
      <c r="B144" s="5" t="s">
        <v>487</v>
      </c>
      <c r="D144" s="7" t="s">
        <v>518</v>
      </c>
      <c r="F144" s="5" t="str">
        <f t="shared" si="4"/>
        <v>IK-MGS1-22-F0015-MV-D-40K-WD-05-WH-BFU-SF</v>
      </c>
      <c r="G144" s="8" t="s">
        <v>8</v>
      </c>
      <c r="H144" s="8" t="s">
        <v>7</v>
      </c>
      <c r="I144" s="8" t="s">
        <v>494</v>
      </c>
      <c r="J144" s="8">
        <v>1</v>
      </c>
      <c r="K144" s="8" t="s">
        <v>7</v>
      </c>
      <c r="L144" s="9" t="s">
        <v>88</v>
      </c>
      <c r="M144" s="8" t="s">
        <v>7</v>
      </c>
      <c r="N144" s="8" t="s">
        <v>35</v>
      </c>
      <c r="O144" s="8" t="s">
        <v>59</v>
      </c>
      <c r="P144" s="8" t="s">
        <v>7</v>
      </c>
      <c r="Q144" s="8" t="s">
        <v>10</v>
      </c>
      <c r="R144" s="8" t="s">
        <v>7</v>
      </c>
      <c r="S144" s="8" t="s">
        <v>11</v>
      </c>
      <c r="T144" s="8" t="s">
        <v>7</v>
      </c>
      <c r="U144" s="8" t="s">
        <v>41</v>
      </c>
      <c r="V144" s="8" t="s">
        <v>7</v>
      </c>
      <c r="W144" s="8" t="s">
        <v>13</v>
      </c>
      <c r="X144" s="8" t="s">
        <v>7</v>
      </c>
      <c r="Y144" s="10" t="s">
        <v>33</v>
      </c>
      <c r="Z144" s="8" t="s">
        <v>7</v>
      </c>
      <c r="AA144" s="8" t="s">
        <v>49</v>
      </c>
      <c r="AB144" s="8" t="s">
        <v>7</v>
      </c>
      <c r="AC144" s="8" t="s">
        <v>15</v>
      </c>
      <c r="AD144" s="8" t="s">
        <v>7</v>
      </c>
      <c r="AE144" s="8" t="s">
        <v>252</v>
      </c>
      <c r="AF144" s="8"/>
      <c r="AG144" s="8"/>
      <c r="AH144" s="8"/>
      <c r="AI144" s="8"/>
      <c r="AJ144" s="8"/>
      <c r="AK144" s="8"/>
      <c r="AL144" s="8"/>
      <c r="AM144" s="8"/>
    </row>
    <row r="145" spans="1:39" ht="49.9" customHeight="1" x14ac:dyDescent="0.3">
      <c r="A145" s="5" t="s">
        <v>486</v>
      </c>
      <c r="B145" s="5" t="s">
        <v>507</v>
      </c>
      <c r="D145" s="7" t="s">
        <v>519</v>
      </c>
      <c r="F145" s="5" t="str">
        <f t="shared" si="4"/>
        <v>IK-MGS1-23-F0030-MV-D-40K-WD-05-WH-BFU-SF</v>
      </c>
      <c r="G145" s="8" t="s">
        <v>8</v>
      </c>
      <c r="H145" s="8" t="s">
        <v>7</v>
      </c>
      <c r="I145" s="8" t="s">
        <v>494</v>
      </c>
      <c r="J145" s="8">
        <v>1</v>
      </c>
      <c r="K145" s="8" t="s">
        <v>7</v>
      </c>
      <c r="L145" s="9" t="s">
        <v>495</v>
      </c>
      <c r="M145" s="8" t="s">
        <v>7</v>
      </c>
      <c r="N145" s="8" t="s">
        <v>35</v>
      </c>
      <c r="O145" s="8" t="s">
        <v>65</v>
      </c>
      <c r="P145" s="8" t="s">
        <v>7</v>
      </c>
      <c r="Q145" s="8" t="s">
        <v>10</v>
      </c>
      <c r="R145" s="8" t="s">
        <v>7</v>
      </c>
      <c r="S145" s="8" t="s">
        <v>11</v>
      </c>
      <c r="T145" s="8" t="s">
        <v>7</v>
      </c>
      <c r="U145" s="8" t="s">
        <v>41</v>
      </c>
      <c r="V145" s="8" t="s">
        <v>7</v>
      </c>
      <c r="W145" s="8" t="s">
        <v>13</v>
      </c>
      <c r="X145" s="8" t="s">
        <v>7</v>
      </c>
      <c r="Y145" s="10" t="s">
        <v>33</v>
      </c>
      <c r="Z145" s="8" t="s">
        <v>7</v>
      </c>
      <c r="AA145" s="8" t="s">
        <v>49</v>
      </c>
      <c r="AB145" s="8" t="s">
        <v>7</v>
      </c>
      <c r="AC145" s="8" t="s">
        <v>15</v>
      </c>
      <c r="AD145" s="8" t="s">
        <v>7</v>
      </c>
      <c r="AE145" s="8" t="s">
        <v>252</v>
      </c>
      <c r="AF145" s="8"/>
      <c r="AG145" s="8"/>
      <c r="AH145" s="8"/>
      <c r="AI145" s="8"/>
      <c r="AJ145" s="8"/>
      <c r="AK145" s="8"/>
      <c r="AL145" s="8"/>
      <c r="AM145" s="8"/>
    </row>
    <row r="146" spans="1:39" ht="49.9" customHeight="1" x14ac:dyDescent="0.3">
      <c r="A146" s="5" t="s">
        <v>486</v>
      </c>
      <c r="B146" s="5" t="s">
        <v>509</v>
      </c>
      <c r="D146" s="7" t="s">
        <v>520</v>
      </c>
      <c r="F146" s="5" t="str">
        <f t="shared" si="4"/>
        <v>IK-MGS1-41-F0015-MV-D-40K-WD-05-WH-BFU-SF</v>
      </c>
      <c r="G146" s="8" t="s">
        <v>8</v>
      </c>
      <c r="H146" s="8" t="s">
        <v>7</v>
      </c>
      <c r="I146" s="8" t="s">
        <v>494</v>
      </c>
      <c r="J146" s="8">
        <v>1</v>
      </c>
      <c r="K146" s="8" t="s">
        <v>7</v>
      </c>
      <c r="L146" s="9" t="s">
        <v>498</v>
      </c>
      <c r="M146" s="8" t="s">
        <v>7</v>
      </c>
      <c r="N146" s="8" t="s">
        <v>35</v>
      </c>
      <c r="O146" s="8" t="s">
        <v>59</v>
      </c>
      <c r="P146" s="8" t="s">
        <v>7</v>
      </c>
      <c r="Q146" s="8" t="s">
        <v>10</v>
      </c>
      <c r="R146" s="8" t="s">
        <v>7</v>
      </c>
      <c r="S146" s="8" t="s">
        <v>11</v>
      </c>
      <c r="T146" s="8" t="s">
        <v>7</v>
      </c>
      <c r="U146" s="8" t="s">
        <v>41</v>
      </c>
      <c r="V146" s="8" t="s">
        <v>7</v>
      </c>
      <c r="W146" s="8" t="s">
        <v>13</v>
      </c>
      <c r="X146" s="8" t="s">
        <v>7</v>
      </c>
      <c r="Y146" s="10" t="s">
        <v>33</v>
      </c>
      <c r="Z146" s="8" t="s">
        <v>7</v>
      </c>
      <c r="AA146" s="8" t="s">
        <v>49</v>
      </c>
      <c r="AB146" s="8" t="s">
        <v>7</v>
      </c>
      <c r="AC146" s="8" t="s">
        <v>15</v>
      </c>
      <c r="AD146" s="8" t="s">
        <v>7</v>
      </c>
      <c r="AE146" s="8" t="s">
        <v>252</v>
      </c>
      <c r="AF146" s="8"/>
      <c r="AG146" s="8"/>
      <c r="AH146" s="8"/>
      <c r="AI146" s="8"/>
      <c r="AJ146" s="8"/>
      <c r="AK146" s="8"/>
      <c r="AL146" s="8"/>
      <c r="AM146" s="8"/>
    </row>
    <row r="147" spans="1:39" ht="49.9" customHeight="1" x14ac:dyDescent="0.3">
      <c r="A147" s="5" t="s">
        <v>486</v>
      </c>
      <c r="B147" s="5" t="s">
        <v>515</v>
      </c>
      <c r="D147" s="7" t="s">
        <v>521</v>
      </c>
      <c r="F147" s="5" t="str">
        <f t="shared" si="4"/>
        <v>IK-MGS1-42-S0040-MV-D-40K-WD-05-WH-BFU-SF</v>
      </c>
      <c r="G147" s="8" t="s">
        <v>8</v>
      </c>
      <c r="H147" s="8" t="s">
        <v>7</v>
      </c>
      <c r="I147" s="8" t="s">
        <v>494</v>
      </c>
      <c r="J147" s="8">
        <v>1</v>
      </c>
      <c r="K147" s="8" t="s">
        <v>7</v>
      </c>
      <c r="L147" s="9" t="s">
        <v>500</v>
      </c>
      <c r="M147" s="8" t="s">
        <v>7</v>
      </c>
      <c r="N147" s="8" t="s">
        <v>21</v>
      </c>
      <c r="O147" s="8" t="s">
        <v>66</v>
      </c>
      <c r="P147" s="8" t="s">
        <v>7</v>
      </c>
      <c r="Q147" s="8" t="s">
        <v>10</v>
      </c>
      <c r="R147" s="8" t="s">
        <v>7</v>
      </c>
      <c r="S147" s="8" t="s">
        <v>11</v>
      </c>
      <c r="T147" s="8" t="s">
        <v>7</v>
      </c>
      <c r="U147" s="8" t="s">
        <v>41</v>
      </c>
      <c r="V147" s="8" t="s">
        <v>7</v>
      </c>
      <c r="W147" s="8" t="s">
        <v>13</v>
      </c>
      <c r="X147" s="8" t="s">
        <v>7</v>
      </c>
      <c r="Y147" s="10" t="s">
        <v>33</v>
      </c>
      <c r="Z147" s="8" t="s">
        <v>7</v>
      </c>
      <c r="AA147" s="8" t="s">
        <v>49</v>
      </c>
      <c r="AB147" s="8" t="s">
        <v>7</v>
      </c>
      <c r="AC147" s="8" t="s">
        <v>15</v>
      </c>
      <c r="AD147" s="8" t="s">
        <v>7</v>
      </c>
      <c r="AE147" s="8" t="s">
        <v>252</v>
      </c>
      <c r="AF147" s="8"/>
      <c r="AG147" s="8"/>
      <c r="AH147" s="8"/>
      <c r="AI147" s="8"/>
      <c r="AJ147" s="8"/>
      <c r="AK147" s="8"/>
      <c r="AL147" s="8"/>
      <c r="AM147" s="8"/>
    </row>
    <row r="148" spans="1:39" ht="49.9" customHeight="1" x14ac:dyDescent="0.3">
      <c r="A148" s="5" t="s">
        <v>486</v>
      </c>
      <c r="B148" s="5" t="s">
        <v>510</v>
      </c>
      <c r="D148" s="7" t="s">
        <v>522</v>
      </c>
      <c r="F148" s="5" t="str">
        <f t="shared" si="4"/>
        <v>IK-MGS1-43-S0045-MV-D-40K-WD-05-WH-BFU-SF</v>
      </c>
      <c r="G148" s="8" t="s">
        <v>8</v>
      </c>
      <c r="H148" s="8" t="s">
        <v>7</v>
      </c>
      <c r="I148" s="8" t="s">
        <v>494</v>
      </c>
      <c r="J148" s="8">
        <v>1</v>
      </c>
      <c r="K148" s="8" t="s">
        <v>7</v>
      </c>
      <c r="L148" s="9" t="s">
        <v>502</v>
      </c>
      <c r="M148" s="8" t="s">
        <v>7</v>
      </c>
      <c r="N148" s="8" t="s">
        <v>21</v>
      </c>
      <c r="O148" s="8" t="s">
        <v>514</v>
      </c>
      <c r="P148" s="8" t="s">
        <v>7</v>
      </c>
      <c r="Q148" s="8" t="s">
        <v>10</v>
      </c>
      <c r="R148" s="8" t="s">
        <v>7</v>
      </c>
      <c r="S148" s="8" t="s">
        <v>11</v>
      </c>
      <c r="T148" s="8" t="s">
        <v>7</v>
      </c>
      <c r="U148" s="8" t="s">
        <v>41</v>
      </c>
      <c r="V148" s="8" t="s">
        <v>7</v>
      </c>
      <c r="W148" s="8" t="s">
        <v>13</v>
      </c>
      <c r="X148" s="8" t="s">
        <v>7</v>
      </c>
      <c r="Y148" s="10" t="s">
        <v>33</v>
      </c>
      <c r="Z148" s="8" t="s">
        <v>7</v>
      </c>
      <c r="AA148" s="8" t="s">
        <v>49</v>
      </c>
      <c r="AB148" s="8" t="s">
        <v>7</v>
      </c>
      <c r="AC148" s="8" t="s">
        <v>15</v>
      </c>
      <c r="AD148" s="8" t="s">
        <v>7</v>
      </c>
      <c r="AE148" s="8" t="s">
        <v>252</v>
      </c>
      <c r="AF148" s="8"/>
      <c r="AG148" s="8"/>
      <c r="AH148" s="8"/>
      <c r="AI148" s="8"/>
      <c r="AJ148" s="8"/>
      <c r="AK148" s="8"/>
      <c r="AL148" s="8"/>
      <c r="AM148" s="8"/>
    </row>
    <row r="149" spans="1:39" ht="49.9" customHeight="1" x14ac:dyDescent="0.3">
      <c r="A149" s="5" t="s">
        <v>486</v>
      </c>
      <c r="B149" s="5" t="s">
        <v>516</v>
      </c>
      <c r="D149" s="7" t="s">
        <v>523</v>
      </c>
      <c r="F149" s="5" t="str">
        <f t="shared" si="4"/>
        <v>IK-MGS1-44-S0060-MV-D-40K-WD-05-WH-BFU-SF</v>
      </c>
      <c r="G149" s="8" t="s">
        <v>8</v>
      </c>
      <c r="H149" s="8" t="s">
        <v>7</v>
      </c>
      <c r="I149" s="8" t="s">
        <v>494</v>
      </c>
      <c r="J149" s="8">
        <v>1</v>
      </c>
      <c r="K149" s="8" t="s">
        <v>7</v>
      </c>
      <c r="L149" s="9" t="s">
        <v>504</v>
      </c>
      <c r="M149" s="8" t="s">
        <v>7</v>
      </c>
      <c r="N149" s="8" t="s">
        <v>21</v>
      </c>
      <c r="O149" s="8" t="s">
        <v>68</v>
      </c>
      <c r="P149" s="8" t="s">
        <v>7</v>
      </c>
      <c r="Q149" s="8" t="s">
        <v>10</v>
      </c>
      <c r="R149" s="8" t="s">
        <v>7</v>
      </c>
      <c r="S149" s="8" t="s">
        <v>11</v>
      </c>
      <c r="T149" s="8" t="s">
        <v>7</v>
      </c>
      <c r="U149" s="8" t="s">
        <v>41</v>
      </c>
      <c r="V149" s="8" t="s">
        <v>7</v>
      </c>
      <c r="W149" s="8" t="s">
        <v>13</v>
      </c>
      <c r="X149" s="8" t="s">
        <v>7</v>
      </c>
      <c r="Y149" s="10" t="s">
        <v>33</v>
      </c>
      <c r="Z149" s="8" t="s">
        <v>7</v>
      </c>
      <c r="AA149" s="8" t="s">
        <v>49</v>
      </c>
      <c r="AB149" s="8" t="s">
        <v>7</v>
      </c>
      <c r="AC149" s="8" t="s">
        <v>15</v>
      </c>
      <c r="AD149" s="8" t="s">
        <v>7</v>
      </c>
      <c r="AE149" s="8" t="s">
        <v>252</v>
      </c>
      <c r="AF149" s="8"/>
      <c r="AG149" s="8"/>
      <c r="AH149" s="8"/>
      <c r="AI149" s="8"/>
      <c r="AJ149" s="8"/>
      <c r="AK149" s="8"/>
      <c r="AL149" s="8"/>
      <c r="AM149" s="8"/>
    </row>
    <row r="150" spans="1:39" ht="49.9" customHeight="1" x14ac:dyDescent="0.3">
      <c r="A150" s="5" t="s">
        <v>486</v>
      </c>
      <c r="B150" s="5" t="s">
        <v>487</v>
      </c>
      <c r="D150" s="7" t="s">
        <v>524</v>
      </c>
      <c r="F150" s="5" t="str">
        <f t="shared" si="4"/>
        <v>IK-MGS1-22-F0015-MV-D-45K-WD-05-WH-BFU-SF</v>
      </c>
      <c r="G150" s="8" t="s">
        <v>8</v>
      </c>
      <c r="H150" s="8" t="s">
        <v>7</v>
      </c>
      <c r="I150" s="8" t="s">
        <v>494</v>
      </c>
      <c r="J150" s="8">
        <v>1</v>
      </c>
      <c r="K150" s="8" t="s">
        <v>7</v>
      </c>
      <c r="L150" s="9" t="s">
        <v>88</v>
      </c>
      <c r="M150" s="8" t="s">
        <v>7</v>
      </c>
      <c r="N150" s="8" t="s">
        <v>35</v>
      </c>
      <c r="O150" s="8" t="s">
        <v>59</v>
      </c>
      <c r="P150" s="8" t="s">
        <v>7</v>
      </c>
      <c r="Q150" s="8" t="s">
        <v>10</v>
      </c>
      <c r="R150" s="8" t="s">
        <v>7</v>
      </c>
      <c r="S150" s="8" t="s">
        <v>11</v>
      </c>
      <c r="T150" s="8" t="s">
        <v>7</v>
      </c>
      <c r="U150" s="8" t="s">
        <v>42</v>
      </c>
      <c r="V150" s="8" t="s">
        <v>7</v>
      </c>
      <c r="W150" s="8" t="s">
        <v>13</v>
      </c>
      <c r="X150" s="8" t="s">
        <v>7</v>
      </c>
      <c r="Y150" s="10" t="s">
        <v>33</v>
      </c>
      <c r="Z150" s="8" t="s">
        <v>7</v>
      </c>
      <c r="AA150" s="8" t="s">
        <v>49</v>
      </c>
      <c r="AB150" s="8" t="s">
        <v>7</v>
      </c>
      <c r="AC150" s="8" t="s">
        <v>15</v>
      </c>
      <c r="AD150" s="8" t="s">
        <v>7</v>
      </c>
      <c r="AE150" s="8" t="s">
        <v>252</v>
      </c>
      <c r="AF150" s="8"/>
      <c r="AG150" s="8"/>
      <c r="AH150" s="8"/>
      <c r="AI150" s="8"/>
      <c r="AJ150" s="8"/>
      <c r="AK150" s="8"/>
      <c r="AL150" s="8"/>
      <c r="AM150" s="8"/>
    </row>
    <row r="151" spans="1:39" ht="49.9" customHeight="1" x14ac:dyDescent="0.3">
      <c r="A151" s="5" t="s">
        <v>486</v>
      </c>
      <c r="B151" s="5" t="s">
        <v>507</v>
      </c>
      <c r="D151" s="7" t="s">
        <v>525</v>
      </c>
      <c r="F151" s="5" t="str">
        <f t="shared" si="4"/>
        <v>IK-MGS1-23-F0030-MV-D-45K-WD-05-WH-BFU-SF</v>
      </c>
      <c r="G151" s="8" t="s">
        <v>8</v>
      </c>
      <c r="H151" s="8" t="s">
        <v>7</v>
      </c>
      <c r="I151" s="8" t="s">
        <v>494</v>
      </c>
      <c r="J151" s="8">
        <v>1</v>
      </c>
      <c r="K151" s="8" t="s">
        <v>7</v>
      </c>
      <c r="L151" s="9" t="s">
        <v>495</v>
      </c>
      <c r="M151" s="8" t="s">
        <v>7</v>
      </c>
      <c r="N151" s="8" t="s">
        <v>35</v>
      </c>
      <c r="O151" s="8" t="s">
        <v>65</v>
      </c>
      <c r="P151" s="8" t="s">
        <v>7</v>
      </c>
      <c r="Q151" s="8" t="s">
        <v>10</v>
      </c>
      <c r="R151" s="8" t="s">
        <v>7</v>
      </c>
      <c r="S151" s="8" t="s">
        <v>11</v>
      </c>
      <c r="T151" s="8" t="s">
        <v>7</v>
      </c>
      <c r="U151" s="8" t="s">
        <v>42</v>
      </c>
      <c r="V151" s="8" t="s">
        <v>7</v>
      </c>
      <c r="W151" s="8" t="s">
        <v>13</v>
      </c>
      <c r="X151" s="8" t="s">
        <v>7</v>
      </c>
      <c r="Y151" s="10" t="s">
        <v>33</v>
      </c>
      <c r="Z151" s="8" t="s">
        <v>7</v>
      </c>
      <c r="AA151" s="8" t="s">
        <v>49</v>
      </c>
      <c r="AB151" s="8" t="s">
        <v>7</v>
      </c>
      <c r="AC151" s="8" t="s">
        <v>15</v>
      </c>
      <c r="AD151" s="8" t="s">
        <v>7</v>
      </c>
      <c r="AE151" s="8" t="s">
        <v>252</v>
      </c>
      <c r="AF151" s="8"/>
      <c r="AG151" s="8"/>
      <c r="AH151" s="8"/>
      <c r="AI151" s="8"/>
      <c r="AJ151" s="8"/>
      <c r="AK151" s="8"/>
      <c r="AL151" s="8"/>
      <c r="AM151" s="8"/>
    </row>
    <row r="152" spans="1:39" ht="49.9" customHeight="1" x14ac:dyDescent="0.3">
      <c r="A152" s="5" t="s">
        <v>486</v>
      </c>
      <c r="B152" s="5" t="s">
        <v>509</v>
      </c>
      <c r="D152" s="7" t="s">
        <v>526</v>
      </c>
      <c r="F152" s="5" t="str">
        <f t="shared" si="4"/>
        <v>IK-MGS1-41-F0015-MV-D-45K-WD-05-WH-BFU-SF</v>
      </c>
      <c r="G152" s="8" t="s">
        <v>8</v>
      </c>
      <c r="H152" s="8" t="s">
        <v>7</v>
      </c>
      <c r="I152" s="8" t="s">
        <v>494</v>
      </c>
      <c r="J152" s="8">
        <v>1</v>
      </c>
      <c r="K152" s="8" t="s">
        <v>7</v>
      </c>
      <c r="L152" s="9" t="s">
        <v>498</v>
      </c>
      <c r="M152" s="8" t="s">
        <v>7</v>
      </c>
      <c r="N152" s="8" t="s">
        <v>35</v>
      </c>
      <c r="O152" s="8" t="s">
        <v>59</v>
      </c>
      <c r="P152" s="8" t="s">
        <v>7</v>
      </c>
      <c r="Q152" s="8" t="s">
        <v>10</v>
      </c>
      <c r="R152" s="8" t="s">
        <v>7</v>
      </c>
      <c r="S152" s="8" t="s">
        <v>11</v>
      </c>
      <c r="T152" s="8" t="s">
        <v>7</v>
      </c>
      <c r="U152" s="8" t="s">
        <v>42</v>
      </c>
      <c r="V152" s="8" t="s">
        <v>7</v>
      </c>
      <c r="W152" s="8" t="s">
        <v>13</v>
      </c>
      <c r="X152" s="8" t="s">
        <v>7</v>
      </c>
      <c r="Y152" s="10" t="s">
        <v>33</v>
      </c>
      <c r="Z152" s="8" t="s">
        <v>7</v>
      </c>
      <c r="AA152" s="8" t="s">
        <v>49</v>
      </c>
      <c r="AB152" s="8" t="s">
        <v>7</v>
      </c>
      <c r="AC152" s="8" t="s">
        <v>15</v>
      </c>
      <c r="AD152" s="8" t="s">
        <v>7</v>
      </c>
      <c r="AE152" s="8" t="s">
        <v>252</v>
      </c>
      <c r="AF152" s="8"/>
      <c r="AG152" s="8"/>
      <c r="AH152" s="8"/>
      <c r="AI152" s="8"/>
      <c r="AJ152" s="8"/>
      <c r="AK152" s="8"/>
      <c r="AL152" s="8"/>
      <c r="AM152" s="8"/>
    </row>
    <row r="153" spans="1:39" ht="49.9" customHeight="1" x14ac:dyDescent="0.3">
      <c r="A153" s="5" t="s">
        <v>486</v>
      </c>
      <c r="B153" s="5" t="s">
        <v>515</v>
      </c>
      <c r="D153" s="7" t="s">
        <v>527</v>
      </c>
      <c r="F153" s="5" t="str">
        <f t="shared" si="4"/>
        <v>IK-MGS1-42-S0040-MV-D-45K-WD-05-WH-BFU-SF</v>
      </c>
      <c r="G153" s="8" t="s">
        <v>8</v>
      </c>
      <c r="H153" s="8" t="s">
        <v>7</v>
      </c>
      <c r="I153" s="8" t="s">
        <v>494</v>
      </c>
      <c r="J153" s="8">
        <v>1</v>
      </c>
      <c r="K153" s="8" t="s">
        <v>7</v>
      </c>
      <c r="L153" s="9" t="s">
        <v>500</v>
      </c>
      <c r="M153" s="8" t="s">
        <v>7</v>
      </c>
      <c r="N153" s="8" t="s">
        <v>21</v>
      </c>
      <c r="O153" s="8" t="s">
        <v>66</v>
      </c>
      <c r="P153" s="8" t="s">
        <v>7</v>
      </c>
      <c r="Q153" s="8" t="s">
        <v>10</v>
      </c>
      <c r="R153" s="8" t="s">
        <v>7</v>
      </c>
      <c r="S153" s="8" t="s">
        <v>11</v>
      </c>
      <c r="T153" s="8" t="s">
        <v>7</v>
      </c>
      <c r="U153" s="8" t="s">
        <v>42</v>
      </c>
      <c r="V153" s="8" t="s">
        <v>7</v>
      </c>
      <c r="W153" s="8" t="s">
        <v>13</v>
      </c>
      <c r="X153" s="8" t="s">
        <v>7</v>
      </c>
      <c r="Y153" s="10" t="s">
        <v>33</v>
      </c>
      <c r="Z153" s="8" t="s">
        <v>7</v>
      </c>
      <c r="AA153" s="8" t="s">
        <v>49</v>
      </c>
      <c r="AB153" s="8" t="s">
        <v>7</v>
      </c>
      <c r="AC153" s="8" t="s">
        <v>15</v>
      </c>
      <c r="AD153" s="8" t="s">
        <v>7</v>
      </c>
      <c r="AE153" s="8" t="s">
        <v>252</v>
      </c>
      <c r="AF153" s="8"/>
      <c r="AG153" s="8"/>
      <c r="AH153" s="8"/>
      <c r="AI153" s="8"/>
      <c r="AJ153" s="8"/>
      <c r="AK153" s="8"/>
      <c r="AL153" s="8"/>
      <c r="AM153" s="8"/>
    </row>
    <row r="154" spans="1:39" ht="49.9" customHeight="1" x14ac:dyDescent="0.3">
      <c r="A154" s="5" t="s">
        <v>486</v>
      </c>
      <c r="B154" s="5" t="s">
        <v>510</v>
      </c>
      <c r="D154" s="7" t="s">
        <v>528</v>
      </c>
      <c r="F154" s="5" t="str">
        <f t="shared" si="4"/>
        <v>IK-MGS1-43-S0045-MV-D-45K-WD-05-WH-BFU-SF</v>
      </c>
      <c r="G154" s="8" t="s">
        <v>8</v>
      </c>
      <c r="H154" s="8" t="s">
        <v>7</v>
      </c>
      <c r="I154" s="8" t="s">
        <v>494</v>
      </c>
      <c r="J154" s="8">
        <v>1</v>
      </c>
      <c r="K154" s="8" t="s">
        <v>7</v>
      </c>
      <c r="L154" s="9" t="s">
        <v>502</v>
      </c>
      <c r="M154" s="8" t="s">
        <v>7</v>
      </c>
      <c r="N154" s="8" t="s">
        <v>21</v>
      </c>
      <c r="O154" s="8" t="s">
        <v>514</v>
      </c>
      <c r="P154" s="8" t="s">
        <v>7</v>
      </c>
      <c r="Q154" s="8" t="s">
        <v>10</v>
      </c>
      <c r="R154" s="8" t="s">
        <v>7</v>
      </c>
      <c r="S154" s="8" t="s">
        <v>11</v>
      </c>
      <c r="T154" s="8" t="s">
        <v>7</v>
      </c>
      <c r="U154" s="8" t="s">
        <v>42</v>
      </c>
      <c r="V154" s="8" t="s">
        <v>7</v>
      </c>
      <c r="W154" s="8" t="s">
        <v>13</v>
      </c>
      <c r="X154" s="8" t="s">
        <v>7</v>
      </c>
      <c r="Y154" s="10" t="s">
        <v>33</v>
      </c>
      <c r="Z154" s="8" t="s">
        <v>7</v>
      </c>
      <c r="AA154" s="8" t="s">
        <v>49</v>
      </c>
      <c r="AB154" s="8" t="s">
        <v>7</v>
      </c>
      <c r="AC154" s="8" t="s">
        <v>15</v>
      </c>
      <c r="AD154" s="8" t="s">
        <v>7</v>
      </c>
      <c r="AE154" s="8" t="s">
        <v>252</v>
      </c>
      <c r="AF154" s="8"/>
      <c r="AG154" s="8"/>
      <c r="AH154" s="8"/>
      <c r="AI154" s="8"/>
      <c r="AJ154" s="8"/>
      <c r="AK154" s="8"/>
      <c r="AL154" s="8"/>
      <c r="AM154" s="8"/>
    </row>
    <row r="155" spans="1:39" ht="49.9" customHeight="1" x14ac:dyDescent="0.3">
      <c r="A155" s="5" t="s">
        <v>486</v>
      </c>
      <c r="B155" s="5" t="s">
        <v>516</v>
      </c>
      <c r="D155" s="7" t="s">
        <v>529</v>
      </c>
      <c r="F155" s="5" t="str">
        <f t="shared" si="4"/>
        <v>IK-MGS1-44-S0060-MV-D-45K-WD-05-WH-BFU-SF</v>
      </c>
      <c r="G155" s="8" t="s">
        <v>8</v>
      </c>
      <c r="H155" s="8" t="s">
        <v>7</v>
      </c>
      <c r="I155" s="8" t="s">
        <v>494</v>
      </c>
      <c r="J155" s="8">
        <v>1</v>
      </c>
      <c r="K155" s="8" t="s">
        <v>7</v>
      </c>
      <c r="L155" s="9" t="s">
        <v>504</v>
      </c>
      <c r="M155" s="8" t="s">
        <v>7</v>
      </c>
      <c r="N155" s="8" t="s">
        <v>21</v>
      </c>
      <c r="O155" s="8" t="s">
        <v>68</v>
      </c>
      <c r="P155" s="8" t="s">
        <v>7</v>
      </c>
      <c r="Q155" s="8" t="s">
        <v>10</v>
      </c>
      <c r="R155" s="8" t="s">
        <v>7</v>
      </c>
      <c r="S155" s="8" t="s">
        <v>11</v>
      </c>
      <c r="T155" s="8" t="s">
        <v>7</v>
      </c>
      <c r="U155" s="8" t="s">
        <v>42</v>
      </c>
      <c r="V155" s="8" t="s">
        <v>7</v>
      </c>
      <c r="W155" s="8" t="s">
        <v>13</v>
      </c>
      <c r="X155" s="8" t="s">
        <v>7</v>
      </c>
      <c r="Y155" s="10" t="s">
        <v>33</v>
      </c>
      <c r="Z155" s="8" t="s">
        <v>7</v>
      </c>
      <c r="AA155" s="8" t="s">
        <v>49</v>
      </c>
      <c r="AB155" s="8" t="s">
        <v>7</v>
      </c>
      <c r="AC155" s="8" t="s">
        <v>15</v>
      </c>
      <c r="AD155" s="8" t="s">
        <v>7</v>
      </c>
      <c r="AE155" s="8" t="s">
        <v>252</v>
      </c>
      <c r="AF155" s="8"/>
      <c r="AG155" s="8"/>
      <c r="AH155" s="8"/>
      <c r="AI155" s="8"/>
      <c r="AJ155" s="8"/>
      <c r="AK155" s="8"/>
      <c r="AL155" s="8"/>
      <c r="AM155" s="8"/>
    </row>
    <row r="156" spans="1:39" ht="49.9" customHeight="1" x14ac:dyDescent="0.3">
      <c r="A156" s="5" t="s">
        <v>486</v>
      </c>
      <c r="B156" s="5" t="s">
        <v>487</v>
      </c>
      <c r="D156" s="7" t="s">
        <v>530</v>
      </c>
      <c r="F156" s="5" t="str">
        <f t="shared" si="4"/>
        <v>IK-MGS1-22-F0015-MV-D-50K-WD-05-WH-BFU-SF</v>
      </c>
      <c r="G156" s="8" t="s">
        <v>8</v>
      </c>
      <c r="H156" s="8" t="s">
        <v>7</v>
      </c>
      <c r="I156" s="8" t="s">
        <v>494</v>
      </c>
      <c r="J156" s="8">
        <v>1</v>
      </c>
      <c r="K156" s="8" t="s">
        <v>7</v>
      </c>
      <c r="L156" s="9" t="s">
        <v>88</v>
      </c>
      <c r="M156" s="8" t="s">
        <v>7</v>
      </c>
      <c r="N156" s="8" t="s">
        <v>35</v>
      </c>
      <c r="O156" s="8" t="s">
        <v>59</v>
      </c>
      <c r="P156" s="8" t="s">
        <v>7</v>
      </c>
      <c r="Q156" s="8" t="s">
        <v>10</v>
      </c>
      <c r="R156" s="8" t="s">
        <v>7</v>
      </c>
      <c r="S156" s="8" t="s">
        <v>11</v>
      </c>
      <c r="T156" s="8" t="s">
        <v>7</v>
      </c>
      <c r="U156" s="8" t="s">
        <v>43</v>
      </c>
      <c r="V156" s="8" t="s">
        <v>7</v>
      </c>
      <c r="W156" s="8" t="s">
        <v>13</v>
      </c>
      <c r="X156" s="8" t="s">
        <v>7</v>
      </c>
      <c r="Y156" s="10" t="s">
        <v>33</v>
      </c>
      <c r="Z156" s="8" t="s">
        <v>7</v>
      </c>
      <c r="AA156" s="8" t="s">
        <v>49</v>
      </c>
      <c r="AB156" s="8" t="s">
        <v>7</v>
      </c>
      <c r="AC156" s="8" t="s">
        <v>15</v>
      </c>
      <c r="AD156" s="8" t="s">
        <v>7</v>
      </c>
      <c r="AE156" s="8" t="s">
        <v>252</v>
      </c>
      <c r="AF156" s="8"/>
      <c r="AG156" s="8"/>
      <c r="AH156" s="8"/>
      <c r="AI156" s="8"/>
      <c r="AJ156" s="8"/>
      <c r="AK156" s="8"/>
      <c r="AL156" s="8"/>
      <c r="AM156" s="8"/>
    </row>
    <row r="157" spans="1:39" ht="49.9" customHeight="1" x14ac:dyDescent="0.3">
      <c r="A157" s="5" t="s">
        <v>486</v>
      </c>
      <c r="B157" s="5" t="s">
        <v>507</v>
      </c>
      <c r="D157" s="7" t="s">
        <v>531</v>
      </c>
      <c r="F157" s="5" t="str">
        <f t="shared" si="4"/>
        <v>IK-MGS1-23-F0030-MV-D-50K-WD-05-WH-BFU-SF</v>
      </c>
      <c r="G157" s="8" t="s">
        <v>8</v>
      </c>
      <c r="H157" s="8" t="s">
        <v>7</v>
      </c>
      <c r="I157" s="8" t="s">
        <v>494</v>
      </c>
      <c r="J157" s="8">
        <v>1</v>
      </c>
      <c r="K157" s="8" t="s">
        <v>7</v>
      </c>
      <c r="L157" s="9" t="s">
        <v>495</v>
      </c>
      <c r="M157" s="8" t="s">
        <v>7</v>
      </c>
      <c r="N157" s="8" t="s">
        <v>35</v>
      </c>
      <c r="O157" s="8" t="s">
        <v>65</v>
      </c>
      <c r="P157" s="8" t="s">
        <v>7</v>
      </c>
      <c r="Q157" s="8" t="s">
        <v>10</v>
      </c>
      <c r="R157" s="8" t="s">
        <v>7</v>
      </c>
      <c r="S157" s="8" t="s">
        <v>11</v>
      </c>
      <c r="T157" s="8" t="s">
        <v>7</v>
      </c>
      <c r="U157" s="8" t="s">
        <v>43</v>
      </c>
      <c r="V157" s="8" t="s">
        <v>7</v>
      </c>
      <c r="W157" s="8" t="s">
        <v>13</v>
      </c>
      <c r="X157" s="8" t="s">
        <v>7</v>
      </c>
      <c r="Y157" s="10" t="s">
        <v>33</v>
      </c>
      <c r="Z157" s="8" t="s">
        <v>7</v>
      </c>
      <c r="AA157" s="8" t="s">
        <v>49</v>
      </c>
      <c r="AB157" s="8" t="s">
        <v>7</v>
      </c>
      <c r="AC157" s="8" t="s">
        <v>15</v>
      </c>
      <c r="AD157" s="8" t="s">
        <v>7</v>
      </c>
      <c r="AE157" s="8" t="s">
        <v>252</v>
      </c>
      <c r="AF157" s="8"/>
      <c r="AG157" s="8"/>
      <c r="AH157" s="8"/>
      <c r="AI157" s="8"/>
      <c r="AJ157" s="8"/>
      <c r="AK157" s="8"/>
      <c r="AL157" s="8"/>
      <c r="AM157" s="8"/>
    </row>
    <row r="158" spans="1:39" ht="49.9" customHeight="1" x14ac:dyDescent="0.3">
      <c r="A158" s="5" t="s">
        <v>486</v>
      </c>
      <c r="B158" s="5" t="s">
        <v>509</v>
      </c>
      <c r="D158" s="7" t="s">
        <v>532</v>
      </c>
      <c r="F158" s="5" t="str">
        <f t="shared" si="4"/>
        <v>IK-MGS1-41-F0015-MV-D-50K-WD-05-WH-BFU-SF</v>
      </c>
      <c r="G158" s="8" t="s">
        <v>8</v>
      </c>
      <c r="H158" s="8" t="s">
        <v>7</v>
      </c>
      <c r="I158" s="8" t="s">
        <v>494</v>
      </c>
      <c r="J158" s="8">
        <v>1</v>
      </c>
      <c r="K158" s="8" t="s">
        <v>7</v>
      </c>
      <c r="L158" s="9" t="s">
        <v>498</v>
      </c>
      <c r="M158" s="8" t="s">
        <v>7</v>
      </c>
      <c r="N158" s="8" t="s">
        <v>35</v>
      </c>
      <c r="O158" s="8" t="s">
        <v>59</v>
      </c>
      <c r="P158" s="8" t="s">
        <v>7</v>
      </c>
      <c r="Q158" s="8" t="s">
        <v>10</v>
      </c>
      <c r="R158" s="8" t="s">
        <v>7</v>
      </c>
      <c r="S158" s="8" t="s">
        <v>11</v>
      </c>
      <c r="T158" s="8" t="s">
        <v>7</v>
      </c>
      <c r="U158" s="8" t="s">
        <v>43</v>
      </c>
      <c r="V158" s="8" t="s">
        <v>7</v>
      </c>
      <c r="W158" s="8" t="s">
        <v>13</v>
      </c>
      <c r="X158" s="8" t="s">
        <v>7</v>
      </c>
      <c r="Y158" s="10" t="s">
        <v>33</v>
      </c>
      <c r="Z158" s="8" t="s">
        <v>7</v>
      </c>
      <c r="AA158" s="8" t="s">
        <v>49</v>
      </c>
      <c r="AB158" s="8" t="s">
        <v>7</v>
      </c>
      <c r="AC158" s="8" t="s">
        <v>15</v>
      </c>
      <c r="AD158" s="8" t="s">
        <v>7</v>
      </c>
      <c r="AE158" s="8" t="s">
        <v>252</v>
      </c>
      <c r="AF158" s="8"/>
      <c r="AG158" s="8"/>
      <c r="AH158" s="8"/>
      <c r="AI158" s="8"/>
      <c r="AJ158" s="8"/>
      <c r="AK158" s="8"/>
      <c r="AL158" s="8"/>
      <c r="AM158" s="8"/>
    </row>
    <row r="159" spans="1:39" ht="49.9" customHeight="1" x14ac:dyDescent="0.3">
      <c r="A159" s="5" t="s">
        <v>486</v>
      </c>
      <c r="B159" s="5" t="s">
        <v>515</v>
      </c>
      <c r="D159" s="7" t="s">
        <v>533</v>
      </c>
      <c r="F159" s="5" t="str">
        <f t="shared" si="4"/>
        <v>IK-MGS1-42-S0040-MV-D-50K-WD-05-WH-BFU-SF</v>
      </c>
      <c r="G159" s="8" t="s">
        <v>8</v>
      </c>
      <c r="H159" s="8" t="s">
        <v>7</v>
      </c>
      <c r="I159" s="8" t="s">
        <v>494</v>
      </c>
      <c r="J159" s="8">
        <v>1</v>
      </c>
      <c r="K159" s="8" t="s">
        <v>7</v>
      </c>
      <c r="L159" s="9" t="s">
        <v>500</v>
      </c>
      <c r="M159" s="8" t="s">
        <v>7</v>
      </c>
      <c r="N159" s="8" t="s">
        <v>21</v>
      </c>
      <c r="O159" s="8" t="s">
        <v>66</v>
      </c>
      <c r="P159" s="8" t="s">
        <v>7</v>
      </c>
      <c r="Q159" s="8" t="s">
        <v>10</v>
      </c>
      <c r="R159" s="8" t="s">
        <v>7</v>
      </c>
      <c r="S159" s="8" t="s">
        <v>11</v>
      </c>
      <c r="T159" s="8" t="s">
        <v>7</v>
      </c>
      <c r="U159" s="8" t="s">
        <v>43</v>
      </c>
      <c r="V159" s="8" t="s">
        <v>7</v>
      </c>
      <c r="W159" s="8" t="s">
        <v>13</v>
      </c>
      <c r="X159" s="8" t="s">
        <v>7</v>
      </c>
      <c r="Y159" s="10" t="s">
        <v>33</v>
      </c>
      <c r="Z159" s="8" t="s">
        <v>7</v>
      </c>
      <c r="AA159" s="8" t="s">
        <v>49</v>
      </c>
      <c r="AB159" s="8" t="s">
        <v>7</v>
      </c>
      <c r="AC159" s="8" t="s">
        <v>15</v>
      </c>
      <c r="AD159" s="8" t="s">
        <v>7</v>
      </c>
      <c r="AE159" s="8" t="s">
        <v>252</v>
      </c>
      <c r="AF159" s="8"/>
      <c r="AG159" s="8"/>
      <c r="AH159" s="8"/>
      <c r="AI159" s="8"/>
      <c r="AJ159" s="8"/>
      <c r="AK159" s="8"/>
      <c r="AL159" s="8"/>
      <c r="AM159" s="8"/>
    </row>
    <row r="160" spans="1:39" ht="49.9" customHeight="1" x14ac:dyDescent="0.3">
      <c r="A160" s="5" t="s">
        <v>486</v>
      </c>
      <c r="B160" s="5" t="s">
        <v>510</v>
      </c>
      <c r="D160" s="7" t="s">
        <v>534</v>
      </c>
      <c r="F160" s="5" t="str">
        <f t="shared" si="4"/>
        <v>IK-MGS1-43-S0045-MV-D-50K-WD-05-WH-BFU-SF</v>
      </c>
      <c r="G160" s="8" t="s">
        <v>8</v>
      </c>
      <c r="H160" s="8" t="s">
        <v>7</v>
      </c>
      <c r="I160" s="8" t="s">
        <v>494</v>
      </c>
      <c r="J160" s="8">
        <v>1</v>
      </c>
      <c r="K160" s="8" t="s">
        <v>7</v>
      </c>
      <c r="L160" s="9" t="s">
        <v>502</v>
      </c>
      <c r="M160" s="8" t="s">
        <v>7</v>
      </c>
      <c r="N160" s="8" t="s">
        <v>21</v>
      </c>
      <c r="O160" s="8" t="s">
        <v>514</v>
      </c>
      <c r="P160" s="8" t="s">
        <v>7</v>
      </c>
      <c r="Q160" s="8" t="s">
        <v>10</v>
      </c>
      <c r="R160" s="8" t="s">
        <v>7</v>
      </c>
      <c r="S160" s="8" t="s">
        <v>11</v>
      </c>
      <c r="T160" s="8" t="s">
        <v>7</v>
      </c>
      <c r="U160" s="8" t="s">
        <v>43</v>
      </c>
      <c r="V160" s="8" t="s">
        <v>7</v>
      </c>
      <c r="W160" s="8" t="s">
        <v>13</v>
      </c>
      <c r="X160" s="8" t="s">
        <v>7</v>
      </c>
      <c r="Y160" s="10" t="s">
        <v>33</v>
      </c>
      <c r="Z160" s="8" t="s">
        <v>7</v>
      </c>
      <c r="AA160" s="8" t="s">
        <v>49</v>
      </c>
      <c r="AB160" s="8" t="s">
        <v>7</v>
      </c>
      <c r="AC160" s="8" t="s">
        <v>15</v>
      </c>
      <c r="AD160" s="8" t="s">
        <v>7</v>
      </c>
      <c r="AE160" s="8" t="s">
        <v>252</v>
      </c>
      <c r="AF160" s="8"/>
      <c r="AG160" s="8"/>
      <c r="AH160" s="8"/>
      <c r="AI160" s="8"/>
      <c r="AJ160" s="8"/>
      <c r="AK160" s="8"/>
      <c r="AL160" s="8"/>
      <c r="AM160" s="8"/>
    </row>
    <row r="161" spans="1:39" ht="49.9" customHeight="1" x14ac:dyDescent="0.3">
      <c r="A161" s="5" t="s">
        <v>486</v>
      </c>
      <c r="B161" s="5" t="s">
        <v>516</v>
      </c>
      <c r="D161" s="7" t="s">
        <v>535</v>
      </c>
      <c r="F161" s="5" t="str">
        <f t="shared" si="4"/>
        <v>IK-MGS1-44-S0060-MV-D-50K-WD-05-WH-BFU-SF</v>
      </c>
      <c r="G161" s="8" t="s">
        <v>8</v>
      </c>
      <c r="H161" s="8" t="s">
        <v>7</v>
      </c>
      <c r="I161" s="8" t="s">
        <v>494</v>
      </c>
      <c r="J161" s="8">
        <v>1</v>
      </c>
      <c r="K161" s="8" t="s">
        <v>7</v>
      </c>
      <c r="L161" s="9" t="s">
        <v>504</v>
      </c>
      <c r="M161" s="8" t="s">
        <v>7</v>
      </c>
      <c r="N161" s="8" t="s">
        <v>21</v>
      </c>
      <c r="O161" s="8" t="s">
        <v>68</v>
      </c>
      <c r="P161" s="8" t="s">
        <v>7</v>
      </c>
      <c r="Q161" s="8" t="s">
        <v>10</v>
      </c>
      <c r="R161" s="8" t="s">
        <v>7</v>
      </c>
      <c r="S161" s="8" t="s">
        <v>11</v>
      </c>
      <c r="T161" s="8" t="s">
        <v>7</v>
      </c>
      <c r="U161" s="8" t="s">
        <v>43</v>
      </c>
      <c r="V161" s="8" t="s">
        <v>7</v>
      </c>
      <c r="W161" s="8" t="s">
        <v>13</v>
      </c>
      <c r="X161" s="8" t="s">
        <v>7</v>
      </c>
      <c r="Y161" s="10" t="s">
        <v>33</v>
      </c>
      <c r="Z161" s="8" t="s">
        <v>7</v>
      </c>
      <c r="AA161" s="8" t="s">
        <v>49</v>
      </c>
      <c r="AB161" s="8" t="s">
        <v>7</v>
      </c>
      <c r="AC161" s="8" t="s">
        <v>15</v>
      </c>
      <c r="AD161" s="8" t="s">
        <v>7</v>
      </c>
      <c r="AE161" s="8" t="s">
        <v>252</v>
      </c>
      <c r="AF161" s="8"/>
      <c r="AG161" s="8"/>
      <c r="AH161" s="8"/>
      <c r="AI161" s="8"/>
      <c r="AJ161" s="8"/>
      <c r="AK161" s="8"/>
      <c r="AL161" s="8"/>
      <c r="AM161" s="8"/>
    </row>
    <row r="162" spans="1:39" ht="49.9" customHeight="1" x14ac:dyDescent="0.3">
      <c r="A162" s="5" t="s">
        <v>536</v>
      </c>
      <c r="B162" s="5" t="s">
        <v>542</v>
      </c>
      <c r="D162" s="7" t="s">
        <v>543</v>
      </c>
      <c r="F162" s="5" t="str">
        <f t="shared" si="4"/>
        <v>IK-BLBA19-01-F0008-LV-D-40K-UD-00-WH-BFU-SFE26</v>
      </c>
      <c r="G162" s="8" t="s">
        <v>8</v>
      </c>
      <c r="H162" s="8" t="s">
        <v>7</v>
      </c>
      <c r="I162" s="8" t="s">
        <v>537</v>
      </c>
      <c r="J162" s="8" t="s">
        <v>539</v>
      </c>
      <c r="K162" s="8" t="s">
        <v>7</v>
      </c>
      <c r="L162" s="9" t="s">
        <v>27</v>
      </c>
      <c r="M162" s="8" t="s">
        <v>7</v>
      </c>
      <c r="N162" s="8" t="s">
        <v>35</v>
      </c>
      <c r="O162" s="8" t="s">
        <v>56</v>
      </c>
      <c r="P162" s="8" t="s">
        <v>7</v>
      </c>
      <c r="Q162" s="8" t="s">
        <v>36</v>
      </c>
      <c r="R162" s="8" t="s">
        <v>7</v>
      </c>
      <c r="S162" s="8" t="s">
        <v>11</v>
      </c>
      <c r="T162" s="8" t="s">
        <v>7</v>
      </c>
      <c r="U162" s="8" t="s">
        <v>41</v>
      </c>
      <c r="V162" s="8" t="s">
        <v>7</v>
      </c>
      <c r="W162" s="8" t="s">
        <v>48</v>
      </c>
      <c r="X162" s="8" t="s">
        <v>7</v>
      </c>
      <c r="Y162" s="10" t="s">
        <v>134</v>
      </c>
      <c r="Z162" s="8" t="s">
        <v>7</v>
      </c>
      <c r="AA162" s="8" t="s">
        <v>49</v>
      </c>
      <c r="AB162" s="8" t="s">
        <v>7</v>
      </c>
      <c r="AC162" s="8" t="s">
        <v>15</v>
      </c>
      <c r="AD162" s="8" t="s">
        <v>7</v>
      </c>
      <c r="AE162" s="8" t="s">
        <v>252</v>
      </c>
      <c r="AF162" s="8"/>
      <c r="AG162" s="8"/>
      <c r="AH162" s="8"/>
      <c r="AI162" s="8"/>
      <c r="AJ162" s="8"/>
      <c r="AK162" s="8"/>
      <c r="AL162" s="8"/>
      <c r="AM162" s="8" t="s">
        <v>544</v>
      </c>
    </row>
    <row r="163" spans="1:39" ht="49.9" customHeight="1" x14ac:dyDescent="0.3">
      <c r="A163" s="5" t="s">
        <v>536</v>
      </c>
      <c r="B163" s="5" t="s">
        <v>542</v>
      </c>
      <c r="D163" s="7" t="s">
        <v>543</v>
      </c>
      <c r="F163" s="5" t="str">
        <f t="shared" si="4"/>
        <v>IK-BLBA19-01-F0013-LV-D-40K-UD-00-WH-BFU-SFE26</v>
      </c>
      <c r="G163" s="8" t="s">
        <v>8</v>
      </c>
      <c r="H163" s="8" t="s">
        <v>7</v>
      </c>
      <c r="I163" s="8" t="s">
        <v>537</v>
      </c>
      <c r="J163" s="8" t="s">
        <v>539</v>
      </c>
      <c r="K163" s="8" t="s">
        <v>7</v>
      </c>
      <c r="L163" s="9" t="s">
        <v>27</v>
      </c>
      <c r="M163" s="8" t="s">
        <v>7</v>
      </c>
      <c r="N163" s="8" t="s">
        <v>35</v>
      </c>
      <c r="O163" s="8" t="s">
        <v>545</v>
      </c>
      <c r="P163" s="8" t="s">
        <v>7</v>
      </c>
      <c r="Q163" s="8" t="s">
        <v>36</v>
      </c>
      <c r="R163" s="8" t="s">
        <v>7</v>
      </c>
      <c r="S163" s="8" t="s">
        <v>11</v>
      </c>
      <c r="T163" s="8" t="s">
        <v>7</v>
      </c>
      <c r="U163" s="8" t="s">
        <v>41</v>
      </c>
      <c r="V163" s="8" t="s">
        <v>7</v>
      </c>
      <c r="W163" s="8" t="s">
        <v>48</v>
      </c>
      <c r="X163" s="8" t="s">
        <v>7</v>
      </c>
      <c r="Y163" s="10" t="s">
        <v>134</v>
      </c>
      <c r="Z163" s="8" t="s">
        <v>7</v>
      </c>
      <c r="AA163" s="8" t="s">
        <v>49</v>
      </c>
      <c r="AB163" s="8" t="s">
        <v>7</v>
      </c>
      <c r="AC163" s="8" t="s">
        <v>15</v>
      </c>
      <c r="AD163" s="8" t="s">
        <v>7</v>
      </c>
      <c r="AE163" s="8" t="s">
        <v>252</v>
      </c>
      <c r="AF163" s="8"/>
      <c r="AG163" s="8"/>
      <c r="AH163" s="8"/>
      <c r="AI163" s="8"/>
      <c r="AJ163" s="8"/>
      <c r="AK163" s="8"/>
      <c r="AL163" s="8"/>
      <c r="AM163" s="8" t="s">
        <v>544</v>
      </c>
    </row>
    <row r="164" spans="1:39" ht="49.9" customHeight="1" x14ac:dyDescent="0.3">
      <c r="A164" s="5" t="s">
        <v>546</v>
      </c>
      <c r="B164" s="5" t="s">
        <v>546</v>
      </c>
      <c r="D164" s="7" t="s">
        <v>551</v>
      </c>
      <c r="F164" s="5" t="str">
        <f t="shared" si="4"/>
        <v>IK-VNTL1-02-F0012-MV-D-CCT-WD-00-BN-BFU-SF</v>
      </c>
      <c r="G164" s="8" t="s">
        <v>8</v>
      </c>
      <c r="H164" s="8" t="s">
        <v>7</v>
      </c>
      <c r="I164" s="8" t="s">
        <v>547</v>
      </c>
      <c r="J164" s="8">
        <v>1</v>
      </c>
      <c r="K164" s="8" t="s">
        <v>7</v>
      </c>
      <c r="L164" s="9" t="s">
        <v>9</v>
      </c>
      <c r="M164" s="8" t="s">
        <v>7</v>
      </c>
      <c r="N164" s="8" t="s">
        <v>35</v>
      </c>
      <c r="O164" s="8" t="s">
        <v>58</v>
      </c>
      <c r="P164" s="8" t="s">
        <v>7</v>
      </c>
      <c r="Q164" s="8" t="s">
        <v>10</v>
      </c>
      <c r="R164" s="8" t="s">
        <v>7</v>
      </c>
      <c r="S164" s="8" t="s">
        <v>11</v>
      </c>
      <c r="T164" s="8" t="s">
        <v>7</v>
      </c>
      <c r="U164" s="8" t="s">
        <v>12</v>
      </c>
      <c r="V164" s="8" t="s">
        <v>7</v>
      </c>
      <c r="W164" s="8" t="s">
        <v>13</v>
      </c>
      <c r="X164" s="8" t="s">
        <v>7</v>
      </c>
      <c r="Y164" s="10" t="s">
        <v>134</v>
      </c>
      <c r="Z164" s="8" t="s">
        <v>7</v>
      </c>
      <c r="AA164" s="8" t="s">
        <v>549</v>
      </c>
      <c r="AB164" s="8" t="s">
        <v>7</v>
      </c>
      <c r="AC164" s="8" t="s">
        <v>15</v>
      </c>
      <c r="AD164" s="8" t="s">
        <v>7</v>
      </c>
      <c r="AE164" s="8" t="s">
        <v>252</v>
      </c>
      <c r="AF164" s="8"/>
      <c r="AG164" s="8"/>
      <c r="AH164" s="8"/>
      <c r="AI164" s="8"/>
      <c r="AJ164" s="8"/>
      <c r="AK164" s="8"/>
      <c r="AL164" s="8"/>
      <c r="AM164" s="8"/>
    </row>
    <row r="165" spans="1:39" ht="49.9" customHeight="1" x14ac:dyDescent="0.3">
      <c r="A165" s="5" t="s">
        <v>562</v>
      </c>
      <c r="B165" s="5" t="s">
        <v>565</v>
      </c>
      <c r="D165" s="7" t="s">
        <v>566</v>
      </c>
      <c r="F165" s="5" t="str">
        <f t="shared" si="4"/>
        <v>IK-UDLL1-04-S0060-MV-D-CCT-WD-00-BK-BFU-SF</v>
      </c>
      <c r="G165" s="8" t="s">
        <v>8</v>
      </c>
      <c r="H165" s="8" t="s">
        <v>7</v>
      </c>
      <c r="I165" s="8" t="s">
        <v>563</v>
      </c>
      <c r="J165" s="8">
        <v>1</v>
      </c>
      <c r="K165" s="8" t="s">
        <v>7</v>
      </c>
      <c r="L165" s="9" t="s">
        <v>32</v>
      </c>
      <c r="M165" s="8" t="s">
        <v>7</v>
      </c>
      <c r="N165" s="8" t="s">
        <v>21</v>
      </c>
      <c r="O165" s="8" t="s">
        <v>68</v>
      </c>
      <c r="P165" s="8" t="s">
        <v>7</v>
      </c>
      <c r="Q165" s="8" t="s">
        <v>10</v>
      </c>
      <c r="R165" s="8" t="s">
        <v>7</v>
      </c>
      <c r="S165" s="8" t="s">
        <v>11</v>
      </c>
      <c r="T165" s="8" t="s">
        <v>7</v>
      </c>
      <c r="U165" s="8" t="s">
        <v>12</v>
      </c>
      <c r="V165" s="8" t="s">
        <v>7</v>
      </c>
      <c r="W165" s="8" t="s">
        <v>13</v>
      </c>
      <c r="X165" s="8" t="s">
        <v>7</v>
      </c>
      <c r="Y165" s="10" t="s">
        <v>134</v>
      </c>
      <c r="Z165" s="8" t="s">
        <v>7</v>
      </c>
      <c r="AA165" s="8" t="s">
        <v>14</v>
      </c>
      <c r="AB165" s="8" t="s">
        <v>7</v>
      </c>
      <c r="AC165" s="8" t="s">
        <v>15</v>
      </c>
      <c r="AD165" s="8" t="s">
        <v>7</v>
      </c>
      <c r="AE165" s="8" t="s">
        <v>252</v>
      </c>
      <c r="AF165" s="8"/>
      <c r="AG165" s="8"/>
      <c r="AH165" s="8"/>
      <c r="AI165" s="8"/>
      <c r="AJ165" s="8"/>
      <c r="AK165" s="8"/>
      <c r="AL165" s="8"/>
      <c r="AM165" s="8"/>
    </row>
    <row r="166" spans="1:39" ht="49.9" customHeight="1" x14ac:dyDescent="0.3">
      <c r="A166" s="5" t="s">
        <v>573</v>
      </c>
      <c r="B166" s="5" t="s">
        <v>567</v>
      </c>
      <c r="D166" s="7" t="s">
        <v>574</v>
      </c>
      <c r="F166" s="5" t="str">
        <f t="shared" si="4"/>
        <v>IK-FML1-18-F0030-LV-D-30K-WD-00-WH-BFU-SF</v>
      </c>
      <c r="G166" s="8" t="s">
        <v>8</v>
      </c>
      <c r="H166" s="8" t="s">
        <v>7</v>
      </c>
      <c r="I166" s="8" t="s">
        <v>568</v>
      </c>
      <c r="J166" s="8">
        <v>1</v>
      </c>
      <c r="K166" s="8" t="s">
        <v>7</v>
      </c>
      <c r="L166" s="9">
        <v>18</v>
      </c>
      <c r="M166" s="8" t="s">
        <v>7</v>
      </c>
      <c r="N166" s="8" t="s">
        <v>35</v>
      </c>
      <c r="O166" s="8" t="s">
        <v>65</v>
      </c>
      <c r="P166" s="8" t="s">
        <v>7</v>
      </c>
      <c r="Q166" s="8" t="s">
        <v>36</v>
      </c>
      <c r="R166" s="8" t="s">
        <v>7</v>
      </c>
      <c r="S166" s="8" t="s">
        <v>11</v>
      </c>
      <c r="T166" s="8" t="s">
        <v>7</v>
      </c>
      <c r="U166" s="8" t="s">
        <v>39</v>
      </c>
      <c r="V166" s="8" t="s">
        <v>7</v>
      </c>
      <c r="W166" s="8" t="s">
        <v>13</v>
      </c>
      <c r="X166" s="8" t="s">
        <v>7</v>
      </c>
      <c r="Y166" s="10" t="s">
        <v>134</v>
      </c>
      <c r="Z166" s="8" t="s">
        <v>7</v>
      </c>
      <c r="AA166" s="8" t="s">
        <v>49</v>
      </c>
      <c r="AB166" s="8" t="s">
        <v>7</v>
      </c>
      <c r="AC166" s="8" t="s">
        <v>15</v>
      </c>
      <c r="AD166" s="8" t="s">
        <v>7</v>
      </c>
      <c r="AE166" s="8" t="s">
        <v>252</v>
      </c>
      <c r="AF166" s="8"/>
      <c r="AG166" s="8"/>
      <c r="AH166" s="8"/>
      <c r="AI166" s="8"/>
      <c r="AJ166" s="8"/>
      <c r="AK166" s="8"/>
      <c r="AL166" s="8"/>
      <c r="AM166" s="8"/>
    </row>
    <row r="167" spans="1:39" ht="49.9" customHeight="1" x14ac:dyDescent="0.3">
      <c r="A167" s="5" t="s">
        <v>598</v>
      </c>
      <c r="B167" s="5" t="s">
        <v>601</v>
      </c>
      <c r="D167" s="7" t="s">
        <v>602</v>
      </c>
      <c r="F167" s="5" t="str">
        <f t="shared" si="4"/>
        <v>IK-AFL1-01-S0205-MV-D-CCT-WD-01-BR-BFU-SCFM</v>
      </c>
      <c r="G167" s="8" t="s">
        <v>8</v>
      </c>
      <c r="H167" s="8" t="s">
        <v>7</v>
      </c>
      <c r="I167" s="8" t="s">
        <v>603</v>
      </c>
      <c r="J167" s="8">
        <v>1</v>
      </c>
      <c r="K167" s="8" t="s">
        <v>7</v>
      </c>
      <c r="L167" s="9" t="s">
        <v>27</v>
      </c>
      <c r="M167" s="8" t="s">
        <v>7</v>
      </c>
      <c r="N167" s="8" t="s">
        <v>21</v>
      </c>
      <c r="O167" s="8" t="s">
        <v>605</v>
      </c>
      <c r="P167" s="8" t="s">
        <v>7</v>
      </c>
      <c r="Q167" s="8" t="s">
        <v>10</v>
      </c>
      <c r="R167" s="8" t="s">
        <v>7</v>
      </c>
      <c r="S167" s="8" t="s">
        <v>11</v>
      </c>
      <c r="T167" s="8" t="s">
        <v>7</v>
      </c>
      <c r="U167" s="8" t="s">
        <v>12</v>
      </c>
      <c r="V167" s="8" t="s">
        <v>7</v>
      </c>
      <c r="W167" s="8" t="s">
        <v>13</v>
      </c>
      <c r="X167" s="8" t="s">
        <v>7</v>
      </c>
      <c r="Y167" s="10" t="s">
        <v>27</v>
      </c>
      <c r="Z167" s="8" t="s">
        <v>7</v>
      </c>
      <c r="AA167" s="8" t="s">
        <v>50</v>
      </c>
      <c r="AB167" s="8" t="s">
        <v>7</v>
      </c>
      <c r="AC167" s="8" t="s">
        <v>15</v>
      </c>
      <c r="AD167" s="8" t="s">
        <v>7</v>
      </c>
      <c r="AE167" s="8" t="s">
        <v>251</v>
      </c>
      <c r="AF167" s="8"/>
      <c r="AG167" s="8"/>
      <c r="AH167" s="8"/>
      <c r="AI167" s="8"/>
      <c r="AJ167" s="8" t="s">
        <v>368</v>
      </c>
      <c r="AK167" s="8"/>
      <c r="AL167" s="8"/>
      <c r="AM167" s="8"/>
    </row>
    <row r="168" spans="1:39" ht="49.9" customHeight="1" x14ac:dyDescent="0.3">
      <c r="A168" s="5" t="s">
        <v>598</v>
      </c>
      <c r="B168" s="5" t="s">
        <v>626</v>
      </c>
      <c r="D168" s="7" t="s">
        <v>639</v>
      </c>
      <c r="F168" s="5" t="str">
        <f t="shared" si="4"/>
        <v>IK-AFL2-01-F0015-MV-D-CCT-WD-01-BR-BFU-SCPC</v>
      </c>
      <c r="G168" s="8" t="s">
        <v>8</v>
      </c>
      <c r="H168" s="8" t="s">
        <v>7</v>
      </c>
      <c r="I168" s="8" t="s">
        <v>603</v>
      </c>
      <c r="J168" s="8">
        <v>2</v>
      </c>
      <c r="K168" s="8" t="s">
        <v>7</v>
      </c>
      <c r="L168" s="9" t="s">
        <v>27</v>
      </c>
      <c r="M168" s="8" t="s">
        <v>7</v>
      </c>
      <c r="N168" s="8" t="s">
        <v>35</v>
      </c>
      <c r="O168" s="8" t="s">
        <v>59</v>
      </c>
      <c r="P168" s="8" t="s">
        <v>7</v>
      </c>
      <c r="Q168" s="8" t="s">
        <v>10</v>
      </c>
      <c r="R168" s="8" t="s">
        <v>7</v>
      </c>
      <c r="S168" s="8" t="s">
        <v>11</v>
      </c>
      <c r="T168" s="8" t="s">
        <v>7</v>
      </c>
      <c r="U168" s="8" t="s">
        <v>12</v>
      </c>
      <c r="V168" s="8" t="s">
        <v>7</v>
      </c>
      <c r="W168" s="8" t="s">
        <v>13</v>
      </c>
      <c r="X168" s="8" t="s">
        <v>7</v>
      </c>
      <c r="Y168" s="10" t="s">
        <v>27</v>
      </c>
      <c r="Z168" s="8" t="s">
        <v>7</v>
      </c>
      <c r="AA168" s="8" t="s">
        <v>50</v>
      </c>
      <c r="AB168" s="8" t="s">
        <v>7</v>
      </c>
      <c r="AC168" s="8" t="s">
        <v>15</v>
      </c>
      <c r="AD168" s="8" t="s">
        <v>7</v>
      </c>
      <c r="AE168" s="8" t="s">
        <v>251</v>
      </c>
      <c r="AF168" s="8"/>
      <c r="AG168" s="8" t="s">
        <v>609</v>
      </c>
      <c r="AH168" s="8"/>
      <c r="AI168" s="8"/>
      <c r="AJ168" s="8"/>
      <c r="AK168" s="8"/>
      <c r="AL168" s="8"/>
      <c r="AM168" s="8"/>
    </row>
    <row r="169" spans="1:39" ht="49.9" customHeight="1" x14ac:dyDescent="0.3">
      <c r="A169" s="5" t="s">
        <v>598</v>
      </c>
      <c r="B169" s="5" t="s">
        <v>626</v>
      </c>
      <c r="D169" s="7" t="s">
        <v>640</v>
      </c>
      <c r="F169" s="5" t="str">
        <f t="shared" si="4"/>
        <v>IK-AFL2-01-F0030-MV-D-CCT-WD-01-BR-BFU-SCPC</v>
      </c>
      <c r="G169" s="8" t="s">
        <v>8</v>
      </c>
      <c r="H169" s="8" t="s">
        <v>7</v>
      </c>
      <c r="I169" s="8" t="s">
        <v>603</v>
      </c>
      <c r="J169" s="8">
        <v>2</v>
      </c>
      <c r="K169" s="8" t="s">
        <v>7</v>
      </c>
      <c r="L169" s="9" t="s">
        <v>27</v>
      </c>
      <c r="M169" s="8" t="s">
        <v>7</v>
      </c>
      <c r="N169" s="8" t="s">
        <v>35</v>
      </c>
      <c r="O169" s="8" t="s">
        <v>65</v>
      </c>
      <c r="P169" s="8" t="s">
        <v>7</v>
      </c>
      <c r="Q169" s="8" t="s">
        <v>10</v>
      </c>
      <c r="R169" s="8" t="s">
        <v>7</v>
      </c>
      <c r="S169" s="8" t="s">
        <v>11</v>
      </c>
      <c r="T169" s="8" t="s">
        <v>7</v>
      </c>
      <c r="U169" s="8" t="s">
        <v>12</v>
      </c>
      <c r="V169" s="8" t="s">
        <v>7</v>
      </c>
      <c r="W169" s="8" t="s">
        <v>13</v>
      </c>
      <c r="X169" s="8" t="s">
        <v>7</v>
      </c>
      <c r="Y169" s="10" t="s">
        <v>27</v>
      </c>
      <c r="Z169" s="8" t="s">
        <v>7</v>
      </c>
      <c r="AA169" s="8" t="s">
        <v>50</v>
      </c>
      <c r="AB169" s="8" t="s">
        <v>7</v>
      </c>
      <c r="AC169" s="8" t="s">
        <v>15</v>
      </c>
      <c r="AD169" s="8" t="s">
        <v>7</v>
      </c>
      <c r="AE169" s="8" t="s">
        <v>251</v>
      </c>
      <c r="AF169" s="8"/>
      <c r="AG169" s="8" t="s">
        <v>609</v>
      </c>
      <c r="AH169" s="8"/>
      <c r="AI169" s="8"/>
      <c r="AJ169" s="8"/>
      <c r="AK169" s="8"/>
      <c r="AL169" s="8"/>
      <c r="AM169" s="8"/>
    </row>
    <row r="170" spans="1:39" ht="49.9" customHeight="1" x14ac:dyDescent="0.3">
      <c r="A170" s="5" t="s">
        <v>598</v>
      </c>
      <c r="B170" s="5" t="s">
        <v>626</v>
      </c>
      <c r="D170" s="7" t="s">
        <v>642</v>
      </c>
      <c r="F170" s="5" t="str">
        <f t="shared" si="4"/>
        <v>IK-AFL2-01-F0055-MV-D-CCT-WD-01-BR-BFU-SCPC</v>
      </c>
      <c r="G170" s="8" t="s">
        <v>8</v>
      </c>
      <c r="H170" s="8" t="s">
        <v>7</v>
      </c>
      <c r="I170" s="8" t="s">
        <v>603</v>
      </c>
      <c r="J170" s="8">
        <v>2</v>
      </c>
      <c r="K170" s="8" t="s">
        <v>7</v>
      </c>
      <c r="L170" s="9" t="s">
        <v>27</v>
      </c>
      <c r="M170" s="8" t="s">
        <v>7</v>
      </c>
      <c r="N170" s="8" t="s">
        <v>35</v>
      </c>
      <c r="O170" s="8" t="s">
        <v>641</v>
      </c>
      <c r="P170" s="8" t="s">
        <v>7</v>
      </c>
      <c r="Q170" s="8" t="s">
        <v>10</v>
      </c>
      <c r="R170" s="8" t="s">
        <v>7</v>
      </c>
      <c r="S170" s="8" t="s">
        <v>11</v>
      </c>
      <c r="T170" s="8" t="s">
        <v>7</v>
      </c>
      <c r="U170" s="8" t="s">
        <v>12</v>
      </c>
      <c r="V170" s="8" t="s">
        <v>7</v>
      </c>
      <c r="W170" s="8" t="s">
        <v>13</v>
      </c>
      <c r="X170" s="8" t="s">
        <v>7</v>
      </c>
      <c r="Y170" s="10" t="s">
        <v>27</v>
      </c>
      <c r="Z170" s="8" t="s">
        <v>7</v>
      </c>
      <c r="AA170" s="8" t="s">
        <v>50</v>
      </c>
      <c r="AB170" s="8" t="s">
        <v>7</v>
      </c>
      <c r="AC170" s="8" t="s">
        <v>15</v>
      </c>
      <c r="AD170" s="8" t="s">
        <v>7</v>
      </c>
      <c r="AE170" s="8" t="s">
        <v>251</v>
      </c>
      <c r="AF170" s="8"/>
      <c r="AG170" s="8" t="s">
        <v>609</v>
      </c>
      <c r="AH170" s="8"/>
      <c r="AI170" s="8"/>
      <c r="AJ170" s="8"/>
      <c r="AK170" s="8"/>
      <c r="AL170" s="8"/>
      <c r="AM170" s="8"/>
    </row>
    <row r="171" spans="1:39" ht="49.9" customHeight="1" x14ac:dyDescent="0.3">
      <c r="A171" s="5" t="s">
        <v>598</v>
      </c>
      <c r="B171" s="5" t="s">
        <v>626</v>
      </c>
      <c r="D171" s="7" t="s">
        <v>643</v>
      </c>
      <c r="F171" s="5" t="str">
        <f t="shared" si="4"/>
        <v>IK-AFL2-01-F0075-MV-D-CCT-WD-01-BR-BFU-SCPC</v>
      </c>
      <c r="G171" s="8" t="s">
        <v>8</v>
      </c>
      <c r="H171" s="8" t="s">
        <v>7</v>
      </c>
      <c r="I171" s="8" t="s">
        <v>603</v>
      </c>
      <c r="J171" s="8">
        <v>2</v>
      </c>
      <c r="K171" s="8" t="s">
        <v>7</v>
      </c>
      <c r="L171" s="9" t="s">
        <v>27</v>
      </c>
      <c r="M171" s="8" t="s">
        <v>7</v>
      </c>
      <c r="N171" s="8" t="s">
        <v>35</v>
      </c>
      <c r="O171" s="8" t="s">
        <v>644</v>
      </c>
      <c r="P171" s="8" t="s">
        <v>7</v>
      </c>
      <c r="Q171" s="8" t="s">
        <v>10</v>
      </c>
      <c r="R171" s="8" t="s">
        <v>7</v>
      </c>
      <c r="S171" s="8" t="s">
        <v>11</v>
      </c>
      <c r="T171" s="8" t="s">
        <v>7</v>
      </c>
      <c r="U171" s="8" t="s">
        <v>12</v>
      </c>
      <c r="V171" s="8" t="s">
        <v>7</v>
      </c>
      <c r="W171" s="8" t="s">
        <v>13</v>
      </c>
      <c r="X171" s="8" t="s">
        <v>7</v>
      </c>
      <c r="Y171" s="10" t="s">
        <v>27</v>
      </c>
      <c r="Z171" s="8" t="s">
        <v>7</v>
      </c>
      <c r="AA171" s="8" t="s">
        <v>50</v>
      </c>
      <c r="AB171" s="8" t="s">
        <v>7</v>
      </c>
      <c r="AC171" s="8" t="s">
        <v>15</v>
      </c>
      <c r="AD171" s="8" t="s">
        <v>7</v>
      </c>
      <c r="AE171" s="8" t="s">
        <v>251</v>
      </c>
      <c r="AF171" s="8"/>
      <c r="AG171" s="8" t="s">
        <v>609</v>
      </c>
      <c r="AH171" s="8"/>
      <c r="AI171" s="8"/>
      <c r="AJ171" s="8"/>
      <c r="AK171" s="8"/>
      <c r="AL171" s="8"/>
      <c r="AM171" s="8"/>
    </row>
    <row r="172" spans="1:39" ht="49.9" customHeight="1" x14ac:dyDescent="0.3">
      <c r="A172" s="5" t="s">
        <v>598</v>
      </c>
      <c r="B172" s="5" t="s">
        <v>626</v>
      </c>
      <c r="D172" s="7" t="s">
        <v>645</v>
      </c>
      <c r="F172" s="5" t="str">
        <f t="shared" si="4"/>
        <v>IK-AFL2-01-F0100-MV-D-CCT-WD-01-BR-BFU-SCPC</v>
      </c>
      <c r="G172" s="8" t="s">
        <v>8</v>
      </c>
      <c r="H172" s="8" t="s">
        <v>7</v>
      </c>
      <c r="I172" s="8" t="s">
        <v>603</v>
      </c>
      <c r="J172" s="8">
        <v>2</v>
      </c>
      <c r="K172" s="8" t="s">
        <v>7</v>
      </c>
      <c r="L172" s="9" t="s">
        <v>27</v>
      </c>
      <c r="M172" s="8" t="s">
        <v>7</v>
      </c>
      <c r="N172" s="8" t="s">
        <v>35</v>
      </c>
      <c r="O172" s="8" t="s">
        <v>72</v>
      </c>
      <c r="P172" s="8" t="s">
        <v>7</v>
      </c>
      <c r="Q172" s="8" t="s">
        <v>10</v>
      </c>
      <c r="R172" s="8" t="s">
        <v>7</v>
      </c>
      <c r="S172" s="8" t="s">
        <v>11</v>
      </c>
      <c r="T172" s="8" t="s">
        <v>7</v>
      </c>
      <c r="U172" s="8" t="s">
        <v>12</v>
      </c>
      <c r="V172" s="8" t="s">
        <v>7</v>
      </c>
      <c r="W172" s="8" t="s">
        <v>13</v>
      </c>
      <c r="X172" s="8" t="s">
        <v>7</v>
      </c>
      <c r="Y172" s="10" t="s">
        <v>27</v>
      </c>
      <c r="Z172" s="8" t="s">
        <v>7</v>
      </c>
      <c r="AA172" s="8" t="s">
        <v>50</v>
      </c>
      <c r="AB172" s="8" t="s">
        <v>7</v>
      </c>
      <c r="AC172" s="8" t="s">
        <v>15</v>
      </c>
      <c r="AD172" s="8" t="s">
        <v>7</v>
      </c>
      <c r="AE172" s="8" t="s">
        <v>251</v>
      </c>
      <c r="AF172" s="8"/>
      <c r="AG172" s="8" t="s">
        <v>609</v>
      </c>
      <c r="AH172" s="8"/>
      <c r="AI172" s="8"/>
      <c r="AJ172" s="8"/>
      <c r="AK172" s="8"/>
      <c r="AL172" s="8"/>
      <c r="AM172" s="8"/>
    </row>
    <row r="173" spans="1:39" ht="49.9" customHeight="1" x14ac:dyDescent="0.3">
      <c r="A173" s="5" t="s">
        <v>598</v>
      </c>
      <c r="B173" s="5" t="s">
        <v>626</v>
      </c>
      <c r="D173" s="7" t="s">
        <v>646</v>
      </c>
      <c r="F173" s="5" t="str">
        <f t="shared" si="4"/>
        <v>IK-AFL2-01-F0120-MV-D-CCT-WD-01-BR-BFU-SCPC</v>
      </c>
      <c r="G173" s="8" t="s">
        <v>8</v>
      </c>
      <c r="H173" s="8" t="s">
        <v>7</v>
      </c>
      <c r="I173" s="8" t="s">
        <v>603</v>
      </c>
      <c r="J173" s="8">
        <v>2</v>
      </c>
      <c r="K173" s="8" t="s">
        <v>7</v>
      </c>
      <c r="L173" s="9" t="s">
        <v>27</v>
      </c>
      <c r="M173" s="8" t="s">
        <v>7</v>
      </c>
      <c r="N173" s="8" t="s">
        <v>35</v>
      </c>
      <c r="O173" s="8" t="s">
        <v>73</v>
      </c>
      <c r="P173" s="8" t="s">
        <v>7</v>
      </c>
      <c r="Q173" s="8" t="s">
        <v>10</v>
      </c>
      <c r="R173" s="8" t="s">
        <v>7</v>
      </c>
      <c r="S173" s="8" t="s">
        <v>11</v>
      </c>
      <c r="T173" s="8" t="s">
        <v>7</v>
      </c>
      <c r="U173" s="8" t="s">
        <v>12</v>
      </c>
      <c r="V173" s="8" t="s">
        <v>7</v>
      </c>
      <c r="W173" s="8" t="s">
        <v>13</v>
      </c>
      <c r="X173" s="8" t="s">
        <v>7</v>
      </c>
      <c r="Y173" s="10" t="s">
        <v>27</v>
      </c>
      <c r="Z173" s="8" t="s">
        <v>7</v>
      </c>
      <c r="AA173" s="8" t="s">
        <v>50</v>
      </c>
      <c r="AB173" s="8" t="s">
        <v>7</v>
      </c>
      <c r="AC173" s="8" t="s">
        <v>15</v>
      </c>
      <c r="AD173" s="8" t="s">
        <v>7</v>
      </c>
      <c r="AE173" s="8" t="s">
        <v>251</v>
      </c>
      <c r="AF173" s="8"/>
      <c r="AG173" s="8" t="s">
        <v>609</v>
      </c>
      <c r="AH173" s="8"/>
      <c r="AI173" s="8"/>
      <c r="AJ173" s="8"/>
      <c r="AK173" s="8"/>
      <c r="AL173" s="8"/>
      <c r="AM173" s="8"/>
    </row>
    <row r="174" spans="1:39" ht="49.9" customHeight="1" x14ac:dyDescent="0.3">
      <c r="A174" s="5" t="s">
        <v>598</v>
      </c>
      <c r="B174" s="5" t="s">
        <v>626</v>
      </c>
      <c r="D174" s="7" t="s">
        <v>638</v>
      </c>
      <c r="F174" s="5" t="str">
        <f t="shared" si="4"/>
        <v>IK-AFL2-01-F0150-MV-D-CCT-WD-01-BR-BFU-SCPC</v>
      </c>
      <c r="G174" s="8" t="s">
        <v>8</v>
      </c>
      <c r="H174" s="8" t="s">
        <v>7</v>
      </c>
      <c r="I174" s="8" t="s">
        <v>603</v>
      </c>
      <c r="J174" s="8">
        <v>2</v>
      </c>
      <c r="K174" s="8" t="s">
        <v>7</v>
      </c>
      <c r="L174" s="9" t="s">
        <v>27</v>
      </c>
      <c r="M174" s="8" t="s">
        <v>7</v>
      </c>
      <c r="N174" s="8" t="s">
        <v>35</v>
      </c>
      <c r="O174" s="8" t="s">
        <v>74</v>
      </c>
      <c r="P174" s="8" t="s">
        <v>7</v>
      </c>
      <c r="Q174" s="8" t="s">
        <v>10</v>
      </c>
      <c r="R174" s="8" t="s">
        <v>7</v>
      </c>
      <c r="S174" s="8" t="s">
        <v>11</v>
      </c>
      <c r="T174" s="8" t="s">
        <v>7</v>
      </c>
      <c r="U174" s="8" t="s">
        <v>12</v>
      </c>
      <c r="V174" s="8" t="s">
        <v>7</v>
      </c>
      <c r="W174" s="8" t="s">
        <v>13</v>
      </c>
      <c r="X174" s="8" t="s">
        <v>7</v>
      </c>
      <c r="Y174" s="10" t="s">
        <v>27</v>
      </c>
      <c r="Z174" s="8" t="s">
        <v>7</v>
      </c>
      <c r="AA174" s="8" t="s">
        <v>50</v>
      </c>
      <c r="AB174" s="8" t="s">
        <v>7</v>
      </c>
      <c r="AC174" s="8" t="s">
        <v>15</v>
      </c>
      <c r="AD174" s="8" t="s">
        <v>7</v>
      </c>
      <c r="AE174" s="8" t="s">
        <v>251</v>
      </c>
      <c r="AF174" s="8"/>
      <c r="AG174" s="8" t="s">
        <v>609</v>
      </c>
      <c r="AH174" s="8"/>
      <c r="AI174" s="8"/>
      <c r="AJ174" s="8"/>
      <c r="AK174" s="8"/>
      <c r="AL174" s="8"/>
      <c r="AM174" s="8"/>
    </row>
    <row r="175" spans="1:39" ht="49.9" customHeight="1" x14ac:dyDescent="0.3">
      <c r="A175" s="5" t="s">
        <v>598</v>
      </c>
      <c r="B175" s="5" t="s">
        <v>626</v>
      </c>
      <c r="D175" s="7" t="s">
        <v>647</v>
      </c>
      <c r="F175" s="5" t="str">
        <f t="shared" si="4"/>
        <v>IK-AFL2-01-F0030-MS-D-CCT-WD-01-BR-BFU-SCPC</v>
      </c>
      <c r="G175" s="8" t="s">
        <v>8</v>
      </c>
      <c r="H175" s="8" t="s">
        <v>7</v>
      </c>
      <c r="I175" s="8" t="s">
        <v>603</v>
      </c>
      <c r="J175" s="8">
        <v>2</v>
      </c>
      <c r="K175" s="8" t="s">
        <v>7</v>
      </c>
      <c r="L175" s="9" t="s">
        <v>27</v>
      </c>
      <c r="M175" s="8" t="s">
        <v>7</v>
      </c>
      <c r="N175" s="8" t="s">
        <v>35</v>
      </c>
      <c r="O175" s="8" t="s">
        <v>65</v>
      </c>
      <c r="P175" s="8" t="s">
        <v>7</v>
      </c>
      <c r="Q175" s="8" t="s">
        <v>415</v>
      </c>
      <c r="R175" s="8" t="s">
        <v>7</v>
      </c>
      <c r="S175" s="8" t="s">
        <v>11</v>
      </c>
      <c r="T175" s="8" t="s">
        <v>7</v>
      </c>
      <c r="U175" s="8" t="s">
        <v>12</v>
      </c>
      <c r="V175" s="8" t="s">
        <v>7</v>
      </c>
      <c r="W175" s="8" t="s">
        <v>13</v>
      </c>
      <c r="X175" s="8" t="s">
        <v>7</v>
      </c>
      <c r="Y175" s="10" t="s">
        <v>27</v>
      </c>
      <c r="Z175" s="8" t="s">
        <v>7</v>
      </c>
      <c r="AA175" s="8" t="s">
        <v>50</v>
      </c>
      <c r="AB175" s="8" t="s">
        <v>7</v>
      </c>
      <c r="AC175" s="8" t="s">
        <v>15</v>
      </c>
      <c r="AD175" s="8" t="s">
        <v>7</v>
      </c>
      <c r="AE175" s="8" t="s">
        <v>251</v>
      </c>
      <c r="AF175" s="8"/>
      <c r="AG175" s="8" t="s">
        <v>609</v>
      </c>
      <c r="AH175" s="8"/>
      <c r="AI175" s="8"/>
      <c r="AJ175" s="8"/>
      <c r="AK175" s="8"/>
      <c r="AL175" s="8"/>
      <c r="AM175" s="8"/>
    </row>
    <row r="176" spans="1:39" ht="49.9" customHeight="1" x14ac:dyDescent="0.3">
      <c r="A176" s="5" t="s">
        <v>598</v>
      </c>
      <c r="B176" s="5" t="s">
        <v>626</v>
      </c>
      <c r="D176" s="7" t="s">
        <v>648</v>
      </c>
      <c r="F176" s="5" t="str">
        <f t="shared" si="4"/>
        <v>IK-AFL2-01-F0055-MS-D-CCT-WD-01-BR-BFU-SCPC</v>
      </c>
      <c r="G176" s="8" t="s">
        <v>8</v>
      </c>
      <c r="H176" s="8" t="s">
        <v>7</v>
      </c>
      <c r="I176" s="8" t="s">
        <v>603</v>
      </c>
      <c r="J176" s="8">
        <v>2</v>
      </c>
      <c r="K176" s="8" t="s">
        <v>7</v>
      </c>
      <c r="L176" s="9" t="s">
        <v>27</v>
      </c>
      <c r="M176" s="8" t="s">
        <v>7</v>
      </c>
      <c r="N176" s="8" t="s">
        <v>35</v>
      </c>
      <c r="O176" s="8" t="s">
        <v>641</v>
      </c>
      <c r="P176" s="8" t="s">
        <v>7</v>
      </c>
      <c r="Q176" s="8" t="s">
        <v>415</v>
      </c>
      <c r="R176" s="8" t="s">
        <v>7</v>
      </c>
      <c r="S176" s="8" t="s">
        <v>11</v>
      </c>
      <c r="T176" s="8" t="s">
        <v>7</v>
      </c>
      <c r="U176" s="8" t="s">
        <v>12</v>
      </c>
      <c r="V176" s="8" t="s">
        <v>7</v>
      </c>
      <c r="W176" s="8" t="s">
        <v>13</v>
      </c>
      <c r="X176" s="8" t="s">
        <v>7</v>
      </c>
      <c r="Y176" s="10" t="s">
        <v>27</v>
      </c>
      <c r="Z176" s="8" t="s">
        <v>7</v>
      </c>
      <c r="AA176" s="8" t="s">
        <v>50</v>
      </c>
      <c r="AB176" s="8" t="s">
        <v>7</v>
      </c>
      <c r="AC176" s="8" t="s">
        <v>15</v>
      </c>
      <c r="AD176" s="8" t="s">
        <v>7</v>
      </c>
      <c r="AE176" s="8" t="s">
        <v>251</v>
      </c>
      <c r="AF176" s="8"/>
      <c r="AG176" s="8" t="s">
        <v>609</v>
      </c>
      <c r="AH176" s="8"/>
      <c r="AI176" s="8"/>
      <c r="AJ176" s="8"/>
      <c r="AK176" s="8"/>
      <c r="AL176" s="8"/>
      <c r="AM176" s="8"/>
    </row>
    <row r="177" spans="1:39" ht="49.9" customHeight="1" x14ac:dyDescent="0.3">
      <c r="A177" s="5" t="s">
        <v>598</v>
      </c>
      <c r="B177" s="5" t="s">
        <v>626</v>
      </c>
      <c r="D177" s="7" t="s">
        <v>649</v>
      </c>
      <c r="F177" s="5" t="str">
        <f t="shared" si="4"/>
        <v>IK-AFL2-01-F0075-MS-D-CCT-WD-01-BR-BFU-SCPC</v>
      </c>
      <c r="G177" s="8" t="s">
        <v>8</v>
      </c>
      <c r="H177" s="8" t="s">
        <v>7</v>
      </c>
      <c r="I177" s="8" t="s">
        <v>603</v>
      </c>
      <c r="J177" s="8">
        <v>2</v>
      </c>
      <c r="K177" s="8" t="s">
        <v>7</v>
      </c>
      <c r="L177" s="9" t="s">
        <v>27</v>
      </c>
      <c r="M177" s="8" t="s">
        <v>7</v>
      </c>
      <c r="N177" s="8" t="s">
        <v>35</v>
      </c>
      <c r="O177" s="8" t="s">
        <v>644</v>
      </c>
      <c r="P177" s="8" t="s">
        <v>7</v>
      </c>
      <c r="Q177" s="8" t="s">
        <v>415</v>
      </c>
      <c r="R177" s="8" t="s">
        <v>7</v>
      </c>
      <c r="S177" s="8" t="s">
        <v>11</v>
      </c>
      <c r="T177" s="8" t="s">
        <v>7</v>
      </c>
      <c r="U177" s="8" t="s">
        <v>12</v>
      </c>
      <c r="V177" s="8" t="s">
        <v>7</v>
      </c>
      <c r="W177" s="8" t="s">
        <v>13</v>
      </c>
      <c r="X177" s="8" t="s">
        <v>7</v>
      </c>
      <c r="Y177" s="10" t="s">
        <v>27</v>
      </c>
      <c r="Z177" s="8" t="s">
        <v>7</v>
      </c>
      <c r="AA177" s="8" t="s">
        <v>50</v>
      </c>
      <c r="AB177" s="8" t="s">
        <v>7</v>
      </c>
      <c r="AC177" s="8" t="s">
        <v>15</v>
      </c>
      <c r="AD177" s="8" t="s">
        <v>7</v>
      </c>
      <c r="AE177" s="8" t="s">
        <v>251</v>
      </c>
      <c r="AF177" s="8"/>
      <c r="AG177" s="8" t="s">
        <v>609</v>
      </c>
      <c r="AH177" s="8"/>
      <c r="AI177" s="8"/>
      <c r="AJ177" s="8"/>
      <c r="AK177" s="8"/>
      <c r="AL177" s="8"/>
      <c r="AM177" s="8"/>
    </row>
    <row r="178" spans="1:39" ht="49.9" customHeight="1" x14ac:dyDescent="0.3">
      <c r="A178" s="5" t="s">
        <v>598</v>
      </c>
      <c r="B178" s="5" t="s">
        <v>626</v>
      </c>
      <c r="D178" s="7" t="s">
        <v>636</v>
      </c>
      <c r="F178" s="5" t="str">
        <f t="shared" si="4"/>
        <v>IK-AFL2-01-F0150-MS-D-CCT-WD-01-BR-BFU-SCPC</v>
      </c>
      <c r="G178" s="8" t="s">
        <v>8</v>
      </c>
      <c r="H178" s="8" t="s">
        <v>7</v>
      </c>
      <c r="I178" s="8" t="s">
        <v>603</v>
      </c>
      <c r="J178" s="8">
        <v>2</v>
      </c>
      <c r="K178" s="8" t="s">
        <v>7</v>
      </c>
      <c r="L178" s="9" t="s">
        <v>27</v>
      </c>
      <c r="M178" s="8" t="s">
        <v>7</v>
      </c>
      <c r="N178" s="8" t="s">
        <v>35</v>
      </c>
      <c r="O178" s="8" t="s">
        <v>74</v>
      </c>
      <c r="P178" s="8" t="s">
        <v>7</v>
      </c>
      <c r="Q178" s="8" t="s">
        <v>415</v>
      </c>
      <c r="R178" s="8" t="s">
        <v>7</v>
      </c>
      <c r="S178" s="8" t="s">
        <v>11</v>
      </c>
      <c r="T178" s="8" t="s">
        <v>7</v>
      </c>
      <c r="U178" s="8" t="s">
        <v>12</v>
      </c>
      <c r="V178" s="8" t="s">
        <v>7</v>
      </c>
      <c r="W178" s="8" t="s">
        <v>13</v>
      </c>
      <c r="X178" s="8" t="s">
        <v>7</v>
      </c>
      <c r="Y178" s="10" t="s">
        <v>27</v>
      </c>
      <c r="Z178" s="8" t="s">
        <v>7</v>
      </c>
      <c r="AA178" s="8" t="s">
        <v>50</v>
      </c>
      <c r="AB178" s="8" t="s">
        <v>7</v>
      </c>
      <c r="AC178" s="8" t="s">
        <v>15</v>
      </c>
      <c r="AD178" s="8" t="s">
        <v>7</v>
      </c>
      <c r="AE178" s="8" t="s">
        <v>251</v>
      </c>
      <c r="AF178" s="8"/>
      <c r="AG178" s="8" t="s">
        <v>609</v>
      </c>
      <c r="AH178" s="8"/>
      <c r="AI178" s="8"/>
      <c r="AJ178" s="8"/>
      <c r="AK178" s="8"/>
      <c r="AL178" s="8"/>
      <c r="AM178" s="8"/>
    </row>
    <row r="179" spans="1:39" ht="49.9" customHeight="1" x14ac:dyDescent="0.3">
      <c r="A179" s="5" t="s">
        <v>598</v>
      </c>
      <c r="B179" s="5" t="s">
        <v>626</v>
      </c>
      <c r="C179" s="6">
        <v>662187484648</v>
      </c>
      <c r="D179" s="7" t="s">
        <v>650</v>
      </c>
      <c r="F179" s="5" t="str">
        <f t="shared" si="4"/>
        <v>IK-AFL2-01-S0150-MV-D-CCT-WD-01-BR-BFU-SCPC</v>
      </c>
      <c r="G179" s="8" t="s">
        <v>8</v>
      </c>
      <c r="H179" s="8" t="s">
        <v>7</v>
      </c>
      <c r="I179" s="8" t="s">
        <v>603</v>
      </c>
      <c r="J179" s="8">
        <v>2</v>
      </c>
      <c r="K179" s="8" t="s">
        <v>7</v>
      </c>
      <c r="L179" s="9" t="s">
        <v>27</v>
      </c>
      <c r="M179" s="8" t="s">
        <v>7</v>
      </c>
      <c r="N179" s="8" t="s">
        <v>21</v>
      </c>
      <c r="O179" s="8" t="s">
        <v>74</v>
      </c>
      <c r="P179" s="8" t="s">
        <v>7</v>
      </c>
      <c r="Q179" s="8" t="s">
        <v>10</v>
      </c>
      <c r="R179" s="8" t="s">
        <v>7</v>
      </c>
      <c r="S179" s="8" t="s">
        <v>11</v>
      </c>
      <c r="T179" s="8" t="s">
        <v>7</v>
      </c>
      <c r="U179" s="8" t="s">
        <v>12</v>
      </c>
      <c r="V179" s="8" t="s">
        <v>7</v>
      </c>
      <c r="W179" s="8" t="s">
        <v>13</v>
      </c>
      <c r="X179" s="8" t="s">
        <v>7</v>
      </c>
      <c r="Y179" s="10" t="s">
        <v>27</v>
      </c>
      <c r="Z179" s="8" t="s">
        <v>7</v>
      </c>
      <c r="AA179" s="8" t="s">
        <v>50</v>
      </c>
      <c r="AB179" s="8" t="s">
        <v>7</v>
      </c>
      <c r="AC179" s="8" t="s">
        <v>15</v>
      </c>
      <c r="AD179" s="8" t="s">
        <v>7</v>
      </c>
      <c r="AE179" s="8" t="s">
        <v>251</v>
      </c>
      <c r="AF179" s="8"/>
      <c r="AG179" s="8" t="s">
        <v>609</v>
      </c>
      <c r="AH179" s="8"/>
      <c r="AI179" s="8"/>
      <c r="AJ179" s="8"/>
      <c r="AK179" s="8"/>
      <c r="AL179" s="8"/>
      <c r="AM179" s="8"/>
    </row>
    <row r="180" spans="1:39" ht="49.9" customHeight="1" x14ac:dyDescent="0.3">
      <c r="A180" s="5" t="s">
        <v>598</v>
      </c>
      <c r="B180" s="5" t="s">
        <v>626</v>
      </c>
      <c r="D180" s="7" t="s">
        <v>637</v>
      </c>
      <c r="F180" s="5" t="str">
        <f t="shared" si="4"/>
        <v>IK-AFL2-01-S0150-MS-D-CCT-WD-01-BR-BFU-SCPC</v>
      </c>
      <c r="G180" s="8" t="s">
        <v>8</v>
      </c>
      <c r="H180" s="8" t="s">
        <v>7</v>
      </c>
      <c r="I180" s="8" t="s">
        <v>603</v>
      </c>
      <c r="J180" s="8">
        <v>2</v>
      </c>
      <c r="K180" s="8" t="s">
        <v>7</v>
      </c>
      <c r="L180" s="9" t="s">
        <v>27</v>
      </c>
      <c r="M180" s="8" t="s">
        <v>7</v>
      </c>
      <c r="N180" s="8" t="s">
        <v>21</v>
      </c>
      <c r="O180" s="8" t="s">
        <v>74</v>
      </c>
      <c r="P180" s="8" t="s">
        <v>7</v>
      </c>
      <c r="Q180" s="8" t="s">
        <v>415</v>
      </c>
      <c r="R180" s="8" t="s">
        <v>7</v>
      </c>
      <c r="S180" s="8" t="s">
        <v>11</v>
      </c>
      <c r="T180" s="8" t="s">
        <v>7</v>
      </c>
      <c r="U180" s="8" t="s">
        <v>12</v>
      </c>
      <c r="V180" s="8" t="s">
        <v>7</v>
      </c>
      <c r="W180" s="8" t="s">
        <v>13</v>
      </c>
      <c r="X180" s="8" t="s">
        <v>7</v>
      </c>
      <c r="Y180" s="10" t="s">
        <v>27</v>
      </c>
      <c r="Z180" s="8" t="s">
        <v>7</v>
      </c>
      <c r="AA180" s="8" t="s">
        <v>50</v>
      </c>
      <c r="AB180" s="8" t="s">
        <v>7</v>
      </c>
      <c r="AC180" s="8" t="s">
        <v>15</v>
      </c>
      <c r="AD180" s="8" t="s">
        <v>7</v>
      </c>
      <c r="AE180" s="8" t="s">
        <v>251</v>
      </c>
      <c r="AF180" s="8"/>
      <c r="AG180" s="8" t="s">
        <v>609</v>
      </c>
      <c r="AH180" s="8"/>
      <c r="AI180" s="8"/>
      <c r="AJ180" s="8"/>
      <c r="AK180" s="8"/>
      <c r="AL180" s="8"/>
      <c r="AM180" s="8"/>
    </row>
    <row r="181" spans="1:39" ht="49.9" customHeight="1" x14ac:dyDescent="0.3">
      <c r="A181" s="5" t="s">
        <v>614</v>
      </c>
      <c r="B181" s="5" t="s">
        <v>615</v>
      </c>
      <c r="D181" s="7" t="s">
        <v>616</v>
      </c>
      <c r="F181" s="5" t="str">
        <f t="shared" si="4"/>
        <v>IK-SFL1-01-F0600-MV-D-50K-WD-02-BK-BFU-SCFM</v>
      </c>
      <c r="G181" s="8" t="s">
        <v>8</v>
      </c>
      <c r="H181" s="8" t="s">
        <v>7</v>
      </c>
      <c r="I181" s="8" t="s">
        <v>617</v>
      </c>
      <c r="J181" s="8">
        <v>1</v>
      </c>
      <c r="K181" s="8" t="s">
        <v>7</v>
      </c>
      <c r="L181" s="9" t="s">
        <v>27</v>
      </c>
      <c r="M181" s="8" t="s">
        <v>7</v>
      </c>
      <c r="N181" s="8" t="s">
        <v>35</v>
      </c>
      <c r="O181" s="8" t="s">
        <v>86</v>
      </c>
      <c r="P181" s="8" t="s">
        <v>7</v>
      </c>
      <c r="Q181" s="8" t="s">
        <v>10</v>
      </c>
      <c r="R181" s="8" t="s">
        <v>7</v>
      </c>
      <c r="S181" s="8" t="s">
        <v>11</v>
      </c>
      <c r="T181" s="8" t="s">
        <v>7</v>
      </c>
      <c r="U181" s="8" t="s">
        <v>43</v>
      </c>
      <c r="V181" s="8" t="s">
        <v>7</v>
      </c>
      <c r="W181" s="8" t="s">
        <v>13</v>
      </c>
      <c r="X181" s="8" t="s">
        <v>7</v>
      </c>
      <c r="Y181" s="10" t="s">
        <v>9</v>
      </c>
      <c r="Z181" s="8" t="s">
        <v>7</v>
      </c>
      <c r="AA181" s="8" t="s">
        <v>14</v>
      </c>
      <c r="AB181" s="8" t="s">
        <v>7</v>
      </c>
      <c r="AC181" s="8" t="s">
        <v>15</v>
      </c>
      <c r="AD181" s="8" t="s">
        <v>7</v>
      </c>
      <c r="AE181" s="8" t="s">
        <v>251</v>
      </c>
      <c r="AF181" s="8"/>
      <c r="AG181" s="8"/>
      <c r="AH181" s="8"/>
      <c r="AI181" s="8"/>
      <c r="AJ181" s="8" t="s">
        <v>368</v>
      </c>
      <c r="AK181" s="8"/>
      <c r="AL181" s="8"/>
      <c r="AM181" s="8"/>
    </row>
    <row r="182" spans="1:39" ht="49.9" customHeight="1" x14ac:dyDescent="0.3">
      <c r="L182" s="9"/>
      <c r="Y182" s="10"/>
      <c r="AE182" s="8"/>
      <c r="AF182" s="8"/>
      <c r="AG182" s="8"/>
      <c r="AH182" s="8"/>
      <c r="AI182" s="8"/>
      <c r="AJ182" s="8"/>
      <c r="AK182" s="8"/>
      <c r="AL182" s="8"/>
      <c r="AM182" s="8"/>
    </row>
    <row r="183" spans="1:39" ht="49.9" customHeight="1" x14ac:dyDescent="0.3">
      <c r="L183" s="9"/>
      <c r="Y183" s="10"/>
      <c r="AE183" s="8"/>
      <c r="AF183" s="8"/>
      <c r="AG183" s="8"/>
      <c r="AH183" s="8"/>
      <c r="AI183" s="8"/>
      <c r="AJ183" s="8"/>
      <c r="AK183" s="8"/>
      <c r="AL183" s="8"/>
      <c r="AM183" s="8"/>
    </row>
    <row r="185" spans="1:39" ht="49.9" customHeight="1" x14ac:dyDescent="0.3">
      <c r="A185" s="5" t="s">
        <v>618</v>
      </c>
      <c r="B185" s="5" t="s">
        <v>619</v>
      </c>
      <c r="C185" s="69" t="s">
        <v>623</v>
      </c>
      <c r="D185" s="7" t="s">
        <v>620</v>
      </c>
      <c r="F185" s="5" t="s">
        <v>622</v>
      </c>
    </row>
    <row r="186" spans="1:39" ht="49.9" customHeight="1" x14ac:dyDescent="0.3">
      <c r="A186" s="5" t="s">
        <v>306</v>
      </c>
      <c r="B186" s="5" t="s">
        <v>678</v>
      </c>
      <c r="D186" s="7" t="s">
        <v>688</v>
      </c>
      <c r="E186" s="7" t="s">
        <v>682</v>
      </c>
      <c r="F186" s="5" t="str">
        <f t="shared" ref="F186:F204" si="5">_xlfn.CONCAT(G186,H186,I186,J186,K186,L186,M186,N186,O186,P186,Q186,R186,S186,T186,U186,V186,W186,X186,Y186,Z186,AA186,AB186,AC186,AD186,AE186,AF186,AG186,AH186,AI186,AJ186,AK186,AL186)</f>
        <v>IK-WPKSC-04-S0040-MV-D-CCT-T4-13-BR-BFU</v>
      </c>
      <c r="G186" s="8" t="s">
        <v>8</v>
      </c>
      <c r="H186" s="8" t="s">
        <v>7</v>
      </c>
      <c r="I186" s="8" t="s">
        <v>310</v>
      </c>
      <c r="J186" s="8" t="s">
        <v>251</v>
      </c>
      <c r="K186" s="8" t="s">
        <v>7</v>
      </c>
      <c r="L186" s="9" t="s">
        <v>32</v>
      </c>
      <c r="M186" s="8" t="s">
        <v>7</v>
      </c>
      <c r="N186" s="8" t="s">
        <v>21</v>
      </c>
      <c r="O186" s="8" t="s">
        <v>66</v>
      </c>
      <c r="P186" s="8" t="s">
        <v>7</v>
      </c>
      <c r="Q186" s="8" t="s">
        <v>10</v>
      </c>
      <c r="R186" s="8" t="s">
        <v>7</v>
      </c>
      <c r="S186" s="8" t="s">
        <v>11</v>
      </c>
      <c r="T186" s="8" t="s">
        <v>7</v>
      </c>
      <c r="U186" s="8" t="s">
        <v>12</v>
      </c>
      <c r="V186" s="8" t="s">
        <v>7</v>
      </c>
      <c r="W186" s="8" t="s">
        <v>297</v>
      </c>
      <c r="X186" s="8" t="s">
        <v>7</v>
      </c>
      <c r="Y186" s="10">
        <v>13</v>
      </c>
      <c r="Z186" s="8" t="s">
        <v>7</v>
      </c>
      <c r="AA186" s="8" t="s">
        <v>50</v>
      </c>
      <c r="AB186" s="8" t="s">
        <v>7</v>
      </c>
      <c r="AC186" s="8" t="s">
        <v>15</v>
      </c>
      <c r="AE186" s="8"/>
      <c r="AF186" s="8"/>
      <c r="AG186" s="8"/>
      <c r="AH186" s="8"/>
      <c r="AI186" s="8"/>
      <c r="AJ186" s="8"/>
      <c r="AK186" s="8"/>
      <c r="AL186" s="8"/>
      <c r="AM186" s="8"/>
    </row>
    <row r="187" spans="1:39" ht="49.9" customHeight="1" x14ac:dyDescent="0.3">
      <c r="A187" s="5" t="s">
        <v>306</v>
      </c>
      <c r="B187" s="5" t="s">
        <v>678</v>
      </c>
      <c r="D187" s="7" t="s">
        <v>690</v>
      </c>
      <c r="E187" s="7" t="s">
        <v>683</v>
      </c>
      <c r="F187" s="5" t="str">
        <f t="shared" si="5"/>
        <v>IK-WPKSC-04-S0080-MV-D-CCT-T4-13-BR-BFU</v>
      </c>
      <c r="G187" s="8" t="s">
        <v>8</v>
      </c>
      <c r="H187" s="8" t="s">
        <v>7</v>
      </c>
      <c r="I187" s="8" t="s">
        <v>310</v>
      </c>
      <c r="J187" s="8" t="s">
        <v>251</v>
      </c>
      <c r="K187" s="8" t="s">
        <v>7</v>
      </c>
      <c r="L187" s="9" t="s">
        <v>32</v>
      </c>
      <c r="M187" s="8" t="s">
        <v>7</v>
      </c>
      <c r="N187" s="8" t="s">
        <v>21</v>
      </c>
      <c r="O187" s="8" t="s">
        <v>70</v>
      </c>
      <c r="P187" s="8" t="s">
        <v>7</v>
      </c>
      <c r="Q187" s="8" t="s">
        <v>10</v>
      </c>
      <c r="R187" s="8" t="s">
        <v>7</v>
      </c>
      <c r="S187" s="8" t="s">
        <v>11</v>
      </c>
      <c r="T187" s="8" t="s">
        <v>7</v>
      </c>
      <c r="U187" s="8" t="s">
        <v>12</v>
      </c>
      <c r="V187" s="8" t="s">
        <v>7</v>
      </c>
      <c r="W187" s="8" t="s">
        <v>297</v>
      </c>
      <c r="X187" s="8" t="s">
        <v>7</v>
      </c>
      <c r="Y187" s="10">
        <v>13</v>
      </c>
      <c r="Z187" s="8" t="s">
        <v>7</v>
      </c>
      <c r="AA187" s="8" t="s">
        <v>50</v>
      </c>
      <c r="AB187" s="8" t="s">
        <v>7</v>
      </c>
      <c r="AC187" s="8" t="s">
        <v>15</v>
      </c>
      <c r="AE187" s="8"/>
      <c r="AF187" s="8"/>
      <c r="AG187" s="8"/>
      <c r="AH187" s="8"/>
      <c r="AI187" s="8"/>
      <c r="AJ187" s="8"/>
      <c r="AK187" s="8"/>
      <c r="AL187" s="8"/>
      <c r="AM187" s="8"/>
    </row>
    <row r="188" spans="1:39" ht="49.9" customHeight="1" x14ac:dyDescent="0.3">
      <c r="A188" s="5" t="s">
        <v>306</v>
      </c>
      <c r="B188" s="5" t="s">
        <v>678</v>
      </c>
      <c r="D188" s="7" t="s">
        <v>689</v>
      </c>
      <c r="E188" s="7" t="s">
        <v>684</v>
      </c>
      <c r="F188" s="5" t="str">
        <f t="shared" si="5"/>
        <v>IK-WPKSC-04-S0150-MV-D-CCT-T4-13-BR-BFU</v>
      </c>
      <c r="G188" s="8" t="s">
        <v>8</v>
      </c>
      <c r="H188" s="8" t="s">
        <v>7</v>
      </c>
      <c r="I188" s="8" t="s">
        <v>310</v>
      </c>
      <c r="J188" s="8" t="s">
        <v>251</v>
      </c>
      <c r="K188" s="8" t="s">
        <v>7</v>
      </c>
      <c r="L188" s="9" t="s">
        <v>32</v>
      </c>
      <c r="M188" s="8" t="s">
        <v>7</v>
      </c>
      <c r="N188" s="8" t="s">
        <v>21</v>
      </c>
      <c r="O188" s="8" t="s">
        <v>74</v>
      </c>
      <c r="P188" s="8" t="s">
        <v>7</v>
      </c>
      <c r="Q188" s="8" t="s">
        <v>10</v>
      </c>
      <c r="R188" s="8" t="s">
        <v>7</v>
      </c>
      <c r="S188" s="8" t="s">
        <v>11</v>
      </c>
      <c r="T188" s="8" t="s">
        <v>7</v>
      </c>
      <c r="U188" s="8" t="s">
        <v>12</v>
      </c>
      <c r="V188" s="8" t="s">
        <v>7</v>
      </c>
      <c r="W188" s="8" t="s">
        <v>297</v>
      </c>
      <c r="X188" s="8" t="s">
        <v>7</v>
      </c>
      <c r="Y188" s="10">
        <v>13</v>
      </c>
      <c r="Z188" s="8" t="s">
        <v>7</v>
      </c>
      <c r="AA188" s="8" t="s">
        <v>50</v>
      </c>
      <c r="AB188" s="8" t="s">
        <v>7</v>
      </c>
      <c r="AC188" s="8" t="s">
        <v>15</v>
      </c>
      <c r="AE188" s="8"/>
      <c r="AF188" s="8"/>
      <c r="AG188" s="8"/>
      <c r="AH188" s="8"/>
      <c r="AI188" s="8"/>
      <c r="AJ188" s="8"/>
      <c r="AK188" s="8"/>
      <c r="AL188" s="8"/>
      <c r="AM188" s="8"/>
    </row>
    <row r="189" spans="1:39" ht="49.9" customHeight="1" x14ac:dyDescent="0.3">
      <c r="A189" s="5" t="s">
        <v>306</v>
      </c>
      <c r="B189" s="5" t="s">
        <v>681</v>
      </c>
      <c r="D189" s="7" t="s">
        <v>687</v>
      </c>
      <c r="E189" s="7" t="s">
        <v>685</v>
      </c>
      <c r="F189" s="5" t="str">
        <f t="shared" si="5"/>
        <v>IK-WPKFC-04-S0080-MV-D-CCT-T3-14-BR-BFU</v>
      </c>
      <c r="G189" s="8" t="s">
        <v>8</v>
      </c>
      <c r="H189" s="8" t="s">
        <v>7</v>
      </c>
      <c r="I189" s="8" t="s">
        <v>310</v>
      </c>
      <c r="J189" s="8" t="s">
        <v>314</v>
      </c>
      <c r="K189" s="8" t="s">
        <v>7</v>
      </c>
      <c r="L189" s="9" t="s">
        <v>32</v>
      </c>
      <c r="M189" s="8" t="s">
        <v>7</v>
      </c>
      <c r="N189" s="8" t="s">
        <v>21</v>
      </c>
      <c r="O189" s="8" t="s">
        <v>70</v>
      </c>
      <c r="P189" s="8" t="s">
        <v>7</v>
      </c>
      <c r="Q189" s="8" t="s">
        <v>10</v>
      </c>
      <c r="R189" s="8" t="s">
        <v>7</v>
      </c>
      <c r="S189" s="8" t="s">
        <v>11</v>
      </c>
      <c r="T189" s="8" t="s">
        <v>7</v>
      </c>
      <c r="U189" s="8" t="s">
        <v>12</v>
      </c>
      <c r="V189" s="8" t="s">
        <v>7</v>
      </c>
      <c r="W189" s="8" t="s">
        <v>294</v>
      </c>
      <c r="X189" s="8" t="s">
        <v>7</v>
      </c>
      <c r="Y189" s="10">
        <v>14</v>
      </c>
      <c r="Z189" s="8" t="s">
        <v>7</v>
      </c>
      <c r="AA189" s="8" t="s">
        <v>50</v>
      </c>
      <c r="AB189" s="8" t="s">
        <v>7</v>
      </c>
      <c r="AC189" s="8" t="s">
        <v>15</v>
      </c>
      <c r="AE189" s="8"/>
      <c r="AF189" s="8"/>
      <c r="AG189" s="8"/>
      <c r="AH189" s="8"/>
      <c r="AI189" s="8"/>
      <c r="AJ189" s="8"/>
      <c r="AK189" s="8"/>
      <c r="AL189" s="8"/>
      <c r="AM189" s="8"/>
    </row>
    <row r="190" spans="1:39" ht="49.9" customHeight="1" x14ac:dyDescent="0.3">
      <c r="A190" s="5" t="s">
        <v>306</v>
      </c>
      <c r="B190" s="5" t="s">
        <v>681</v>
      </c>
      <c r="D190" s="7" t="s">
        <v>691</v>
      </c>
      <c r="E190" s="7" t="s">
        <v>692</v>
      </c>
      <c r="F190" s="5" t="str">
        <f t="shared" si="5"/>
        <v>IK-WPKFC-04-S0120-MV-D-CCT-T3-14-BR-BFU</v>
      </c>
      <c r="G190" s="8" t="s">
        <v>8</v>
      </c>
      <c r="H190" s="8" t="s">
        <v>7</v>
      </c>
      <c r="I190" s="8" t="s">
        <v>310</v>
      </c>
      <c r="J190" s="8" t="s">
        <v>314</v>
      </c>
      <c r="K190" s="8" t="s">
        <v>7</v>
      </c>
      <c r="L190" s="9" t="s">
        <v>32</v>
      </c>
      <c r="M190" s="8" t="s">
        <v>7</v>
      </c>
      <c r="N190" s="8" t="s">
        <v>21</v>
      </c>
      <c r="O190" s="8" t="s">
        <v>73</v>
      </c>
      <c r="P190" s="8" t="s">
        <v>7</v>
      </c>
      <c r="Q190" s="8" t="s">
        <v>10</v>
      </c>
      <c r="R190" s="8" t="s">
        <v>7</v>
      </c>
      <c r="S190" s="8" t="s">
        <v>11</v>
      </c>
      <c r="T190" s="8" t="s">
        <v>7</v>
      </c>
      <c r="U190" s="8" t="s">
        <v>12</v>
      </c>
      <c r="V190" s="8" t="s">
        <v>7</v>
      </c>
      <c r="W190" s="8" t="s">
        <v>294</v>
      </c>
      <c r="X190" s="8" t="s">
        <v>7</v>
      </c>
      <c r="Y190" s="10">
        <v>14</v>
      </c>
      <c r="Z190" s="8" t="s">
        <v>7</v>
      </c>
      <c r="AA190" s="8" t="s">
        <v>50</v>
      </c>
      <c r="AB190" s="8" t="s">
        <v>7</v>
      </c>
      <c r="AC190" s="8" t="s">
        <v>15</v>
      </c>
      <c r="AE190" s="8"/>
      <c r="AF190" s="8"/>
      <c r="AG190" s="8"/>
      <c r="AH190" s="8"/>
      <c r="AI190" s="8"/>
      <c r="AJ190" s="8"/>
      <c r="AK190" s="8"/>
      <c r="AL190" s="8"/>
      <c r="AM190" s="8"/>
    </row>
    <row r="191" spans="1:39" ht="49.9" customHeight="1" x14ac:dyDescent="0.3">
      <c r="A191" s="5" t="s">
        <v>306</v>
      </c>
      <c r="B191" s="5" t="s">
        <v>681</v>
      </c>
      <c r="D191" s="7" t="s">
        <v>694</v>
      </c>
      <c r="E191" s="7" t="s">
        <v>693</v>
      </c>
      <c r="F191" s="5" t="str">
        <f t="shared" si="5"/>
        <v>IK-WPKFC-05-S0080-MV-D-CCT-T3-13-BR-BFU</v>
      </c>
      <c r="G191" s="8" t="s">
        <v>8</v>
      </c>
      <c r="H191" s="8" t="s">
        <v>7</v>
      </c>
      <c r="I191" s="8" t="s">
        <v>310</v>
      </c>
      <c r="J191" s="8" t="s">
        <v>314</v>
      </c>
      <c r="K191" s="8" t="s">
        <v>7</v>
      </c>
      <c r="L191" s="9" t="s">
        <v>33</v>
      </c>
      <c r="M191" s="8" t="s">
        <v>7</v>
      </c>
      <c r="N191" s="8" t="s">
        <v>21</v>
      </c>
      <c r="O191" s="8" t="s">
        <v>70</v>
      </c>
      <c r="P191" s="8" t="s">
        <v>7</v>
      </c>
      <c r="Q191" s="8" t="s">
        <v>10</v>
      </c>
      <c r="R191" s="8" t="s">
        <v>7</v>
      </c>
      <c r="S191" s="8" t="s">
        <v>11</v>
      </c>
      <c r="T191" s="8" t="s">
        <v>7</v>
      </c>
      <c r="U191" s="8" t="s">
        <v>12</v>
      </c>
      <c r="V191" s="8" t="s">
        <v>7</v>
      </c>
      <c r="W191" s="8" t="s">
        <v>294</v>
      </c>
      <c r="X191" s="8" t="s">
        <v>7</v>
      </c>
      <c r="Y191" s="10">
        <v>13</v>
      </c>
      <c r="Z191" s="8" t="s">
        <v>7</v>
      </c>
      <c r="AA191" s="8" t="s">
        <v>50</v>
      </c>
      <c r="AB191" s="8" t="s">
        <v>7</v>
      </c>
      <c r="AC191" s="8" t="s">
        <v>15</v>
      </c>
      <c r="AE191" s="8"/>
      <c r="AF191" s="8"/>
      <c r="AG191" s="8"/>
      <c r="AH191" s="8"/>
      <c r="AI191" s="8"/>
      <c r="AJ191" s="8"/>
      <c r="AK191" s="8"/>
      <c r="AL191" s="8"/>
      <c r="AM191" s="8"/>
    </row>
    <row r="192" spans="1:39" ht="49.9" customHeight="1" x14ac:dyDescent="0.3">
      <c r="A192" s="5" t="s">
        <v>306</v>
      </c>
      <c r="B192" s="5" t="s">
        <v>681</v>
      </c>
      <c r="D192" s="7" t="s">
        <v>695</v>
      </c>
      <c r="E192" s="7" t="s">
        <v>696</v>
      </c>
      <c r="F192" s="5" t="str">
        <f t="shared" si="5"/>
        <v>IK-WPKFC-05-S0120-MV-D-CCT-T3-13-BR-BFU</v>
      </c>
      <c r="G192" s="8" t="s">
        <v>8</v>
      </c>
      <c r="H192" s="8" t="s">
        <v>7</v>
      </c>
      <c r="I192" s="8" t="s">
        <v>310</v>
      </c>
      <c r="J192" s="8" t="s">
        <v>314</v>
      </c>
      <c r="K192" s="8" t="s">
        <v>7</v>
      </c>
      <c r="L192" s="9" t="s">
        <v>33</v>
      </c>
      <c r="M192" s="8" t="s">
        <v>7</v>
      </c>
      <c r="N192" s="8" t="s">
        <v>21</v>
      </c>
      <c r="O192" s="8" t="s">
        <v>73</v>
      </c>
      <c r="P192" s="8" t="s">
        <v>7</v>
      </c>
      <c r="Q192" s="8" t="s">
        <v>10</v>
      </c>
      <c r="R192" s="8" t="s">
        <v>7</v>
      </c>
      <c r="S192" s="8" t="s">
        <v>11</v>
      </c>
      <c r="T192" s="8" t="s">
        <v>7</v>
      </c>
      <c r="U192" s="8" t="s">
        <v>12</v>
      </c>
      <c r="V192" s="8" t="s">
        <v>7</v>
      </c>
      <c r="W192" s="8" t="s">
        <v>294</v>
      </c>
      <c r="X192" s="8" t="s">
        <v>7</v>
      </c>
      <c r="Y192" s="10">
        <v>13</v>
      </c>
      <c r="Z192" s="8" t="s">
        <v>7</v>
      </c>
      <c r="AA192" s="8" t="s">
        <v>50</v>
      </c>
      <c r="AB192" s="8" t="s">
        <v>7</v>
      </c>
      <c r="AC192" s="8" t="s">
        <v>15</v>
      </c>
      <c r="AE192" s="8"/>
      <c r="AF192" s="8"/>
      <c r="AG192" s="8"/>
      <c r="AH192" s="8"/>
      <c r="AI192" s="8"/>
      <c r="AJ192" s="8"/>
      <c r="AK192" s="8"/>
      <c r="AL192" s="8"/>
      <c r="AM192" s="8"/>
    </row>
    <row r="193" spans="1:39" ht="49.9" customHeight="1" x14ac:dyDescent="0.3">
      <c r="A193" s="5" t="s">
        <v>306</v>
      </c>
      <c r="B193" s="5" t="s">
        <v>707</v>
      </c>
      <c r="D193" s="7" t="s">
        <v>697</v>
      </c>
      <c r="E193" s="7" t="s">
        <v>698</v>
      </c>
      <c r="F193" s="5" t="str">
        <f t="shared" si="5"/>
        <v>IK-WPKATT-04-S0040-MV-D-CCT-T3-13-BR-BFU</v>
      </c>
      <c r="G193" s="8" t="s">
        <v>8</v>
      </c>
      <c r="H193" s="8" t="s">
        <v>7</v>
      </c>
      <c r="I193" s="8" t="s">
        <v>310</v>
      </c>
      <c r="J193" s="8" t="s">
        <v>702</v>
      </c>
      <c r="K193" s="8" t="s">
        <v>7</v>
      </c>
      <c r="L193" s="9" t="s">
        <v>32</v>
      </c>
      <c r="M193" s="8" t="s">
        <v>7</v>
      </c>
      <c r="N193" s="8" t="s">
        <v>21</v>
      </c>
      <c r="O193" s="8" t="s">
        <v>66</v>
      </c>
      <c r="P193" s="8" t="s">
        <v>7</v>
      </c>
      <c r="Q193" s="8" t="s">
        <v>10</v>
      </c>
      <c r="R193" s="8" t="s">
        <v>7</v>
      </c>
      <c r="S193" s="8" t="s">
        <v>11</v>
      </c>
      <c r="T193" s="8" t="s">
        <v>7</v>
      </c>
      <c r="U193" s="8" t="s">
        <v>12</v>
      </c>
      <c r="V193" s="8" t="s">
        <v>7</v>
      </c>
      <c r="W193" s="8" t="s">
        <v>294</v>
      </c>
      <c r="X193" s="8" t="s">
        <v>7</v>
      </c>
      <c r="Y193" s="10">
        <v>13</v>
      </c>
      <c r="Z193" s="8" t="s">
        <v>7</v>
      </c>
      <c r="AA193" s="8" t="s">
        <v>50</v>
      </c>
      <c r="AB193" s="8" t="s">
        <v>7</v>
      </c>
      <c r="AC193" s="8" t="s">
        <v>15</v>
      </c>
      <c r="AE193" s="8"/>
      <c r="AF193" s="8"/>
      <c r="AG193" s="8"/>
      <c r="AH193" s="8"/>
      <c r="AI193" s="8"/>
      <c r="AJ193" s="8"/>
      <c r="AK193" s="8"/>
      <c r="AL193" s="8"/>
      <c r="AM193" s="8"/>
    </row>
    <row r="194" spans="1:39" ht="49.9" customHeight="1" x14ac:dyDescent="0.3">
      <c r="A194" s="5" t="s">
        <v>306</v>
      </c>
      <c r="B194" s="5" t="s">
        <v>707</v>
      </c>
      <c r="D194" s="7" t="s">
        <v>708</v>
      </c>
      <c r="E194" s="7" t="s">
        <v>709</v>
      </c>
      <c r="F194" s="5" t="str">
        <f t="shared" si="5"/>
        <v>IK-WPKATT-04-S0080-MV-D-CCT-T3-13-BR-BFU</v>
      </c>
      <c r="G194" s="8" t="s">
        <v>8</v>
      </c>
      <c r="H194" s="8" t="s">
        <v>7</v>
      </c>
      <c r="I194" s="8" t="s">
        <v>310</v>
      </c>
      <c r="J194" s="8" t="s">
        <v>702</v>
      </c>
      <c r="K194" s="8" t="s">
        <v>7</v>
      </c>
      <c r="L194" s="9" t="s">
        <v>32</v>
      </c>
      <c r="M194" s="8" t="s">
        <v>7</v>
      </c>
      <c r="N194" s="8" t="s">
        <v>21</v>
      </c>
      <c r="O194" s="8" t="s">
        <v>70</v>
      </c>
      <c r="P194" s="8" t="s">
        <v>7</v>
      </c>
      <c r="Q194" s="8" t="s">
        <v>10</v>
      </c>
      <c r="R194" s="8" t="s">
        <v>7</v>
      </c>
      <c r="S194" s="8" t="s">
        <v>11</v>
      </c>
      <c r="T194" s="8" t="s">
        <v>7</v>
      </c>
      <c r="U194" s="8" t="s">
        <v>12</v>
      </c>
      <c r="V194" s="8" t="s">
        <v>7</v>
      </c>
      <c r="W194" s="8" t="s">
        <v>294</v>
      </c>
      <c r="X194" s="8" t="s">
        <v>7</v>
      </c>
      <c r="Y194" s="10">
        <v>13</v>
      </c>
      <c r="Z194" s="8" t="s">
        <v>7</v>
      </c>
      <c r="AA194" s="8" t="s">
        <v>50</v>
      </c>
      <c r="AB194" s="8" t="s">
        <v>7</v>
      </c>
      <c r="AC194" s="8" t="s">
        <v>15</v>
      </c>
      <c r="AE194" s="8"/>
      <c r="AF194" s="8"/>
      <c r="AG194" s="8"/>
      <c r="AH194" s="8"/>
      <c r="AI194" s="8"/>
      <c r="AJ194" s="8"/>
      <c r="AK194" s="8"/>
      <c r="AL194" s="8"/>
      <c r="AM194" s="8"/>
    </row>
    <row r="195" spans="1:39" ht="49.9" customHeight="1" x14ac:dyDescent="0.3">
      <c r="A195" s="5" t="s">
        <v>306</v>
      </c>
      <c r="B195" s="5" t="s">
        <v>707</v>
      </c>
      <c r="D195" s="7" t="s">
        <v>711</v>
      </c>
      <c r="E195" s="7" t="s">
        <v>710</v>
      </c>
      <c r="F195" s="5" t="str">
        <f t="shared" si="5"/>
        <v>IK-WPKATT-04-S0120-MV-D-CCT-T3-13-BR-BFU</v>
      </c>
      <c r="G195" s="8" t="s">
        <v>8</v>
      </c>
      <c r="H195" s="8" t="s">
        <v>7</v>
      </c>
      <c r="I195" s="8" t="s">
        <v>310</v>
      </c>
      <c r="J195" s="8" t="s">
        <v>702</v>
      </c>
      <c r="K195" s="8" t="s">
        <v>7</v>
      </c>
      <c r="L195" s="9" t="s">
        <v>32</v>
      </c>
      <c r="M195" s="8" t="s">
        <v>7</v>
      </c>
      <c r="N195" s="8" t="s">
        <v>21</v>
      </c>
      <c r="O195" s="8" t="s">
        <v>73</v>
      </c>
      <c r="P195" s="8" t="s">
        <v>7</v>
      </c>
      <c r="Q195" s="8" t="s">
        <v>10</v>
      </c>
      <c r="R195" s="8" t="s">
        <v>7</v>
      </c>
      <c r="S195" s="8" t="s">
        <v>11</v>
      </c>
      <c r="T195" s="8" t="s">
        <v>7</v>
      </c>
      <c r="U195" s="8" t="s">
        <v>12</v>
      </c>
      <c r="V195" s="8" t="s">
        <v>7</v>
      </c>
      <c r="W195" s="8" t="s">
        <v>294</v>
      </c>
      <c r="X195" s="8" t="s">
        <v>7</v>
      </c>
      <c r="Y195" s="10">
        <v>13</v>
      </c>
      <c r="Z195" s="8" t="s">
        <v>7</v>
      </c>
      <c r="AA195" s="8" t="s">
        <v>50</v>
      </c>
      <c r="AB195" s="8" t="s">
        <v>7</v>
      </c>
      <c r="AC195" s="8" t="s">
        <v>15</v>
      </c>
      <c r="AE195" s="8"/>
      <c r="AF195" s="8"/>
      <c r="AG195" s="8"/>
      <c r="AH195" s="8"/>
      <c r="AI195" s="8"/>
      <c r="AJ195" s="8"/>
      <c r="AK195" s="8"/>
      <c r="AL195" s="8"/>
      <c r="AM195" s="8"/>
    </row>
    <row r="196" spans="1:39" ht="49.9" customHeight="1" x14ac:dyDescent="0.3">
      <c r="A196" s="5" t="s">
        <v>306</v>
      </c>
      <c r="B196" s="5" t="s">
        <v>712</v>
      </c>
      <c r="D196" s="7" t="s">
        <v>713</v>
      </c>
      <c r="E196" s="7" t="s">
        <v>716</v>
      </c>
      <c r="F196" s="5" t="str">
        <f t="shared" si="5"/>
        <v>IK-WPKATR-04-S0040-MV-D-CCT-T3-13-BR-BFU</v>
      </c>
      <c r="G196" s="8" t="s">
        <v>8</v>
      </c>
      <c r="H196" s="8" t="s">
        <v>7</v>
      </c>
      <c r="I196" s="8" t="s">
        <v>310</v>
      </c>
      <c r="J196" s="8" t="s">
        <v>212</v>
      </c>
      <c r="K196" s="8" t="s">
        <v>7</v>
      </c>
      <c r="L196" s="9" t="s">
        <v>32</v>
      </c>
      <c r="M196" s="8" t="s">
        <v>7</v>
      </c>
      <c r="N196" s="8" t="s">
        <v>21</v>
      </c>
      <c r="O196" s="8" t="s">
        <v>66</v>
      </c>
      <c r="P196" s="8" t="s">
        <v>7</v>
      </c>
      <c r="Q196" s="8" t="s">
        <v>10</v>
      </c>
      <c r="R196" s="8" t="s">
        <v>7</v>
      </c>
      <c r="S196" s="8" t="s">
        <v>11</v>
      </c>
      <c r="T196" s="8" t="s">
        <v>7</v>
      </c>
      <c r="U196" s="8" t="s">
        <v>12</v>
      </c>
      <c r="V196" s="8" t="s">
        <v>7</v>
      </c>
      <c r="W196" s="8" t="s">
        <v>294</v>
      </c>
      <c r="X196" s="8" t="s">
        <v>7</v>
      </c>
      <c r="Y196" s="10">
        <v>13</v>
      </c>
      <c r="Z196" s="8" t="s">
        <v>7</v>
      </c>
      <c r="AA196" s="8" t="s">
        <v>50</v>
      </c>
      <c r="AB196" s="8" t="s">
        <v>7</v>
      </c>
      <c r="AC196" s="8" t="s">
        <v>15</v>
      </c>
      <c r="AE196" s="8"/>
      <c r="AF196" s="8"/>
      <c r="AG196" s="8"/>
      <c r="AH196" s="8"/>
      <c r="AI196" s="8"/>
      <c r="AJ196" s="8"/>
      <c r="AK196" s="8"/>
      <c r="AL196" s="8"/>
      <c r="AM196" s="8"/>
    </row>
    <row r="197" spans="1:39" ht="49.9" customHeight="1" x14ac:dyDescent="0.3">
      <c r="A197" s="5" t="s">
        <v>306</v>
      </c>
      <c r="B197" s="5" t="s">
        <v>712</v>
      </c>
      <c r="D197" s="7" t="s">
        <v>714</v>
      </c>
      <c r="E197" s="7" t="s">
        <v>717</v>
      </c>
      <c r="F197" s="5" t="str">
        <f t="shared" si="5"/>
        <v>IK-WPKATR-04-S0080-MV-D-CCT-T3-13-BR-BFU</v>
      </c>
      <c r="G197" s="8" t="s">
        <v>8</v>
      </c>
      <c r="H197" s="8" t="s">
        <v>7</v>
      </c>
      <c r="I197" s="8" t="s">
        <v>310</v>
      </c>
      <c r="J197" s="8" t="s">
        <v>212</v>
      </c>
      <c r="K197" s="8" t="s">
        <v>7</v>
      </c>
      <c r="L197" s="9" t="s">
        <v>32</v>
      </c>
      <c r="M197" s="8" t="s">
        <v>7</v>
      </c>
      <c r="N197" s="8" t="s">
        <v>21</v>
      </c>
      <c r="O197" s="8" t="s">
        <v>70</v>
      </c>
      <c r="P197" s="8" t="s">
        <v>7</v>
      </c>
      <c r="Q197" s="8" t="s">
        <v>10</v>
      </c>
      <c r="R197" s="8" t="s">
        <v>7</v>
      </c>
      <c r="S197" s="8" t="s">
        <v>11</v>
      </c>
      <c r="T197" s="8" t="s">
        <v>7</v>
      </c>
      <c r="U197" s="8" t="s">
        <v>12</v>
      </c>
      <c r="V197" s="8" t="s">
        <v>7</v>
      </c>
      <c r="W197" s="8" t="s">
        <v>294</v>
      </c>
      <c r="X197" s="8" t="s">
        <v>7</v>
      </c>
      <c r="Y197" s="10">
        <v>13</v>
      </c>
      <c r="Z197" s="8" t="s">
        <v>7</v>
      </c>
      <c r="AA197" s="8" t="s">
        <v>50</v>
      </c>
      <c r="AB197" s="8" t="s">
        <v>7</v>
      </c>
      <c r="AC197" s="8" t="s">
        <v>15</v>
      </c>
      <c r="AE197" s="8"/>
      <c r="AF197" s="8"/>
      <c r="AG197" s="8"/>
      <c r="AH197" s="8"/>
      <c r="AI197" s="8"/>
      <c r="AJ197" s="8"/>
      <c r="AK197" s="8"/>
      <c r="AL197" s="8"/>
      <c r="AM197" s="8"/>
    </row>
    <row r="198" spans="1:39" ht="49.9" customHeight="1" x14ac:dyDescent="0.3">
      <c r="A198" s="5" t="s">
        <v>306</v>
      </c>
      <c r="B198" s="5" t="s">
        <v>712</v>
      </c>
      <c r="D198" s="7" t="s">
        <v>715</v>
      </c>
      <c r="E198" s="7" t="s">
        <v>718</v>
      </c>
      <c r="F198" s="5" t="str">
        <f t="shared" si="5"/>
        <v>IK-WPKATR-04-S0120-MV-D-CCT-T3-13-BR-BFU</v>
      </c>
      <c r="G198" s="8" t="s">
        <v>8</v>
      </c>
      <c r="H198" s="8" t="s">
        <v>7</v>
      </c>
      <c r="I198" s="8" t="s">
        <v>310</v>
      </c>
      <c r="J198" s="8" t="s">
        <v>212</v>
      </c>
      <c r="K198" s="8" t="s">
        <v>7</v>
      </c>
      <c r="L198" s="9" t="s">
        <v>32</v>
      </c>
      <c r="M198" s="8" t="s">
        <v>7</v>
      </c>
      <c r="N198" s="8" t="s">
        <v>21</v>
      </c>
      <c r="O198" s="8" t="s">
        <v>73</v>
      </c>
      <c r="P198" s="8" t="s">
        <v>7</v>
      </c>
      <c r="Q198" s="8" t="s">
        <v>10</v>
      </c>
      <c r="R198" s="8" t="s">
        <v>7</v>
      </c>
      <c r="S198" s="8" t="s">
        <v>11</v>
      </c>
      <c r="T198" s="8" t="s">
        <v>7</v>
      </c>
      <c r="U198" s="8" t="s">
        <v>12</v>
      </c>
      <c r="V198" s="8" t="s">
        <v>7</v>
      </c>
      <c r="W198" s="8" t="s">
        <v>294</v>
      </c>
      <c r="X198" s="8" t="s">
        <v>7</v>
      </c>
      <c r="Y198" s="10">
        <v>13</v>
      </c>
      <c r="Z198" s="8" t="s">
        <v>7</v>
      </c>
      <c r="AA198" s="8" t="s">
        <v>50</v>
      </c>
      <c r="AB198" s="8" t="s">
        <v>7</v>
      </c>
      <c r="AC198" s="8" t="s">
        <v>15</v>
      </c>
      <c r="AE198" s="8"/>
      <c r="AF198" s="8"/>
      <c r="AG198" s="8"/>
      <c r="AH198" s="8"/>
      <c r="AI198" s="8"/>
      <c r="AJ198" s="8"/>
      <c r="AK198" s="8"/>
      <c r="AL198" s="8"/>
      <c r="AM198" s="8"/>
    </row>
    <row r="199" spans="1:39" ht="49.9" customHeight="1" x14ac:dyDescent="0.3">
      <c r="A199" s="5" t="s">
        <v>306</v>
      </c>
      <c r="B199" s="5" t="s">
        <v>719</v>
      </c>
      <c r="D199" s="7" t="s">
        <v>720</v>
      </c>
      <c r="E199" s="7" t="s">
        <v>723</v>
      </c>
      <c r="F199" s="5" t="str">
        <f t="shared" si="5"/>
        <v>IK-WPKATQ-04-S0040-MV-D-CCT-T3-13-BR-BFU</v>
      </c>
      <c r="G199" s="8" t="s">
        <v>8</v>
      </c>
      <c r="H199" s="8" t="s">
        <v>7</v>
      </c>
      <c r="I199" s="8" t="s">
        <v>310</v>
      </c>
      <c r="J199" s="8" t="s">
        <v>703</v>
      </c>
      <c r="K199" s="8" t="s">
        <v>7</v>
      </c>
      <c r="L199" s="9" t="s">
        <v>32</v>
      </c>
      <c r="M199" s="8" t="s">
        <v>7</v>
      </c>
      <c r="N199" s="8" t="s">
        <v>21</v>
      </c>
      <c r="O199" s="8" t="s">
        <v>66</v>
      </c>
      <c r="P199" s="8" t="s">
        <v>7</v>
      </c>
      <c r="Q199" s="8" t="s">
        <v>10</v>
      </c>
      <c r="R199" s="8" t="s">
        <v>7</v>
      </c>
      <c r="S199" s="8" t="s">
        <v>11</v>
      </c>
      <c r="T199" s="8" t="s">
        <v>7</v>
      </c>
      <c r="U199" s="8" t="s">
        <v>12</v>
      </c>
      <c r="V199" s="8" t="s">
        <v>7</v>
      </c>
      <c r="W199" s="8" t="s">
        <v>294</v>
      </c>
      <c r="X199" s="8" t="s">
        <v>7</v>
      </c>
      <c r="Y199" s="10">
        <v>13</v>
      </c>
      <c r="Z199" s="8" t="s">
        <v>7</v>
      </c>
      <c r="AA199" s="8" t="s">
        <v>50</v>
      </c>
      <c r="AB199" s="8" t="s">
        <v>7</v>
      </c>
      <c r="AC199" s="8" t="s">
        <v>15</v>
      </c>
      <c r="AE199" s="8"/>
      <c r="AF199" s="8"/>
      <c r="AG199" s="8"/>
      <c r="AH199" s="8"/>
      <c r="AI199" s="8"/>
      <c r="AJ199" s="8"/>
      <c r="AK199" s="8"/>
      <c r="AL199" s="8"/>
      <c r="AM199" s="8"/>
    </row>
    <row r="200" spans="1:39" ht="49.9" customHeight="1" x14ac:dyDescent="0.3">
      <c r="A200" s="5" t="s">
        <v>306</v>
      </c>
      <c r="B200" s="5" t="s">
        <v>719</v>
      </c>
      <c r="D200" s="7" t="s">
        <v>721</v>
      </c>
      <c r="E200" s="7" t="s">
        <v>724</v>
      </c>
      <c r="F200" s="5" t="str">
        <f t="shared" si="5"/>
        <v>IK-WPKATQ-04-S0080-MV-D-CCT-T3-13-BR-BFU</v>
      </c>
      <c r="G200" s="8" t="s">
        <v>8</v>
      </c>
      <c r="H200" s="8" t="s">
        <v>7</v>
      </c>
      <c r="I200" s="8" t="s">
        <v>310</v>
      </c>
      <c r="J200" s="8" t="s">
        <v>703</v>
      </c>
      <c r="K200" s="8" t="s">
        <v>7</v>
      </c>
      <c r="L200" s="9" t="s">
        <v>32</v>
      </c>
      <c r="M200" s="8" t="s">
        <v>7</v>
      </c>
      <c r="N200" s="8" t="s">
        <v>21</v>
      </c>
      <c r="O200" s="8" t="s">
        <v>70</v>
      </c>
      <c r="P200" s="8" t="s">
        <v>7</v>
      </c>
      <c r="Q200" s="8" t="s">
        <v>10</v>
      </c>
      <c r="R200" s="8" t="s">
        <v>7</v>
      </c>
      <c r="S200" s="8" t="s">
        <v>11</v>
      </c>
      <c r="T200" s="8" t="s">
        <v>7</v>
      </c>
      <c r="U200" s="8" t="s">
        <v>12</v>
      </c>
      <c r="V200" s="8" t="s">
        <v>7</v>
      </c>
      <c r="W200" s="8" t="s">
        <v>294</v>
      </c>
      <c r="X200" s="8" t="s">
        <v>7</v>
      </c>
      <c r="Y200" s="10">
        <v>13</v>
      </c>
      <c r="Z200" s="8" t="s">
        <v>7</v>
      </c>
      <c r="AA200" s="8" t="s">
        <v>50</v>
      </c>
      <c r="AB200" s="8" t="s">
        <v>7</v>
      </c>
      <c r="AC200" s="8" t="s">
        <v>15</v>
      </c>
      <c r="AE200" s="8"/>
      <c r="AF200" s="8"/>
      <c r="AG200" s="8"/>
      <c r="AH200" s="8"/>
      <c r="AI200" s="8"/>
      <c r="AJ200" s="8"/>
      <c r="AK200" s="8"/>
      <c r="AL200" s="8"/>
      <c r="AM200" s="8"/>
    </row>
    <row r="201" spans="1:39" ht="49.9" customHeight="1" x14ac:dyDescent="0.3">
      <c r="A201" s="5" t="s">
        <v>306</v>
      </c>
      <c r="B201" s="5" t="s">
        <v>719</v>
      </c>
      <c r="D201" s="7" t="s">
        <v>722</v>
      </c>
      <c r="E201" s="7" t="s">
        <v>725</v>
      </c>
      <c r="F201" s="5" t="str">
        <f t="shared" si="5"/>
        <v>IK-WPKATQ-04-S0120-MV-D-CCT-T3-13-BR-BFU</v>
      </c>
      <c r="G201" s="8" t="s">
        <v>8</v>
      </c>
      <c r="H201" s="8" t="s">
        <v>7</v>
      </c>
      <c r="I201" s="8" t="s">
        <v>310</v>
      </c>
      <c r="J201" s="8" t="s">
        <v>703</v>
      </c>
      <c r="K201" s="8" t="s">
        <v>7</v>
      </c>
      <c r="L201" s="9" t="s">
        <v>32</v>
      </c>
      <c r="M201" s="8" t="s">
        <v>7</v>
      </c>
      <c r="N201" s="8" t="s">
        <v>21</v>
      </c>
      <c r="O201" s="8" t="s">
        <v>73</v>
      </c>
      <c r="P201" s="8" t="s">
        <v>7</v>
      </c>
      <c r="Q201" s="8" t="s">
        <v>10</v>
      </c>
      <c r="R201" s="8" t="s">
        <v>7</v>
      </c>
      <c r="S201" s="8" t="s">
        <v>11</v>
      </c>
      <c r="T201" s="8" t="s">
        <v>7</v>
      </c>
      <c r="U201" s="8" t="s">
        <v>12</v>
      </c>
      <c r="V201" s="8" t="s">
        <v>7</v>
      </c>
      <c r="W201" s="8" t="s">
        <v>294</v>
      </c>
      <c r="X201" s="8" t="s">
        <v>7</v>
      </c>
      <c r="Y201" s="10">
        <v>13</v>
      </c>
      <c r="Z201" s="8" t="s">
        <v>7</v>
      </c>
      <c r="AA201" s="8" t="s">
        <v>50</v>
      </c>
      <c r="AB201" s="8" t="s">
        <v>7</v>
      </c>
      <c r="AC201" s="8" t="s">
        <v>15</v>
      </c>
      <c r="AE201" s="8"/>
      <c r="AF201" s="8"/>
      <c r="AG201" s="8"/>
      <c r="AH201" s="8"/>
      <c r="AI201" s="8"/>
      <c r="AJ201" s="8"/>
      <c r="AK201" s="8"/>
      <c r="AL201" s="8"/>
      <c r="AM201" s="8"/>
    </row>
    <row r="202" spans="1:39" ht="49.9" customHeight="1" x14ac:dyDescent="0.3">
      <c r="A202" s="5" t="s">
        <v>306</v>
      </c>
      <c r="B202" s="5" t="s">
        <v>728</v>
      </c>
      <c r="D202" s="7" t="s">
        <v>729</v>
      </c>
      <c r="E202" s="7" t="s">
        <v>731</v>
      </c>
      <c r="F202" s="5" t="str">
        <f t="shared" si="5"/>
        <v>IK-WPKADJ-04-S0080-MV-D-CCT-T3-13-BR-BFU</v>
      </c>
      <c r="G202" s="8" t="s">
        <v>8</v>
      </c>
      <c r="H202" s="8" t="s">
        <v>7</v>
      </c>
      <c r="I202" s="8" t="s">
        <v>310</v>
      </c>
      <c r="J202" s="8" t="s">
        <v>726</v>
      </c>
      <c r="K202" s="8" t="s">
        <v>7</v>
      </c>
      <c r="L202" s="9" t="s">
        <v>32</v>
      </c>
      <c r="M202" s="8" t="s">
        <v>7</v>
      </c>
      <c r="N202" s="8" t="s">
        <v>21</v>
      </c>
      <c r="O202" s="8" t="s">
        <v>70</v>
      </c>
      <c r="P202" s="8" t="s">
        <v>7</v>
      </c>
      <c r="Q202" s="8" t="s">
        <v>10</v>
      </c>
      <c r="R202" s="8" t="s">
        <v>7</v>
      </c>
      <c r="S202" s="8" t="s">
        <v>11</v>
      </c>
      <c r="T202" s="8" t="s">
        <v>7</v>
      </c>
      <c r="U202" s="8" t="s">
        <v>12</v>
      </c>
      <c r="V202" s="8" t="s">
        <v>7</v>
      </c>
      <c r="W202" s="8" t="s">
        <v>294</v>
      </c>
      <c r="X202" s="8" t="s">
        <v>7</v>
      </c>
      <c r="Y202" s="10">
        <v>13</v>
      </c>
      <c r="Z202" s="8" t="s">
        <v>7</v>
      </c>
      <c r="AA202" s="8" t="s">
        <v>50</v>
      </c>
      <c r="AB202" s="8" t="s">
        <v>7</v>
      </c>
      <c r="AC202" s="8" t="s">
        <v>15</v>
      </c>
      <c r="AE202" s="8"/>
      <c r="AF202" s="8"/>
      <c r="AG202" s="8"/>
      <c r="AH202" s="8"/>
      <c r="AI202" s="8"/>
      <c r="AJ202" s="8"/>
      <c r="AK202" s="8"/>
      <c r="AL202" s="8"/>
      <c r="AM202" s="8"/>
    </row>
    <row r="203" spans="1:39" ht="49.9" customHeight="1" x14ac:dyDescent="0.3">
      <c r="A203" s="5" t="s">
        <v>306</v>
      </c>
      <c r="B203" s="5" t="s">
        <v>728</v>
      </c>
      <c r="D203" s="7" t="s">
        <v>730</v>
      </c>
      <c r="E203" s="7" t="s">
        <v>732</v>
      </c>
      <c r="F203" s="5" t="str">
        <f t="shared" si="5"/>
        <v>IK-WPKADJ-04-S0120-MV-D-CCT-T3-13-BR-BFU</v>
      </c>
      <c r="G203" s="8" t="s">
        <v>8</v>
      </c>
      <c r="H203" s="8" t="s">
        <v>7</v>
      </c>
      <c r="I203" s="8" t="s">
        <v>310</v>
      </c>
      <c r="J203" s="8" t="s">
        <v>726</v>
      </c>
      <c r="K203" s="8" t="s">
        <v>7</v>
      </c>
      <c r="L203" s="9" t="s">
        <v>32</v>
      </c>
      <c r="M203" s="8" t="s">
        <v>7</v>
      </c>
      <c r="N203" s="8" t="s">
        <v>21</v>
      </c>
      <c r="O203" s="8" t="s">
        <v>73</v>
      </c>
      <c r="P203" s="8" t="s">
        <v>7</v>
      </c>
      <c r="Q203" s="8" t="s">
        <v>10</v>
      </c>
      <c r="R203" s="8" t="s">
        <v>7</v>
      </c>
      <c r="S203" s="8" t="s">
        <v>11</v>
      </c>
      <c r="T203" s="8" t="s">
        <v>7</v>
      </c>
      <c r="U203" s="8" t="s">
        <v>12</v>
      </c>
      <c r="V203" s="8" t="s">
        <v>7</v>
      </c>
      <c r="W203" s="8" t="s">
        <v>294</v>
      </c>
      <c r="X203" s="8" t="s">
        <v>7</v>
      </c>
      <c r="Y203" s="10">
        <v>13</v>
      </c>
      <c r="Z203" s="8" t="s">
        <v>7</v>
      </c>
      <c r="AA203" s="8" t="s">
        <v>50</v>
      </c>
      <c r="AB203" s="8" t="s">
        <v>7</v>
      </c>
      <c r="AC203" s="8" t="s">
        <v>15</v>
      </c>
      <c r="AE203" s="8"/>
      <c r="AF203" s="8"/>
      <c r="AG203" s="8"/>
      <c r="AH203" s="8"/>
      <c r="AI203" s="8"/>
      <c r="AJ203" s="8"/>
      <c r="AK203" s="8"/>
      <c r="AL203" s="8"/>
      <c r="AM203" s="8"/>
    </row>
    <row r="204" spans="1:39" ht="49.9" customHeight="1" x14ac:dyDescent="0.3">
      <c r="A204" s="5" t="s">
        <v>306</v>
      </c>
      <c r="B204" s="5" t="s">
        <v>733</v>
      </c>
      <c r="D204" s="7" t="s">
        <v>735</v>
      </c>
      <c r="E204" s="7" t="s">
        <v>734</v>
      </c>
      <c r="F204" s="5" t="str">
        <f t="shared" si="5"/>
        <v>IK-WPKADJ-06-S0030-MV-D-CCT-WD-13-BR-BFU</v>
      </c>
      <c r="G204" s="8" t="s">
        <v>8</v>
      </c>
      <c r="H204" s="8" t="s">
        <v>7</v>
      </c>
      <c r="I204" s="8" t="s">
        <v>310</v>
      </c>
      <c r="J204" s="8" t="s">
        <v>726</v>
      </c>
      <c r="K204" s="8" t="s">
        <v>7</v>
      </c>
      <c r="L204" s="9" t="s">
        <v>123</v>
      </c>
      <c r="M204" s="8" t="s">
        <v>7</v>
      </c>
      <c r="N204" s="8" t="s">
        <v>21</v>
      </c>
      <c r="O204" s="8" t="s">
        <v>65</v>
      </c>
      <c r="P204" s="8" t="s">
        <v>7</v>
      </c>
      <c r="Q204" s="8" t="s">
        <v>10</v>
      </c>
      <c r="R204" s="8" t="s">
        <v>7</v>
      </c>
      <c r="S204" s="8" t="s">
        <v>11</v>
      </c>
      <c r="T204" s="8" t="s">
        <v>7</v>
      </c>
      <c r="U204" s="8" t="s">
        <v>12</v>
      </c>
      <c r="V204" s="8" t="s">
        <v>7</v>
      </c>
      <c r="W204" s="8" t="s">
        <v>13</v>
      </c>
      <c r="X204" s="8" t="s">
        <v>7</v>
      </c>
      <c r="Y204" s="10">
        <v>13</v>
      </c>
      <c r="Z204" s="8" t="s">
        <v>7</v>
      </c>
      <c r="AA204" s="8" t="s">
        <v>50</v>
      </c>
      <c r="AB204" s="8" t="s">
        <v>7</v>
      </c>
      <c r="AC204" s="8" t="s">
        <v>15</v>
      </c>
      <c r="AE204" s="8"/>
      <c r="AF204" s="8"/>
      <c r="AG204" s="8"/>
      <c r="AH204" s="8"/>
      <c r="AI204" s="8"/>
      <c r="AJ204" s="8"/>
      <c r="AK204" s="8"/>
      <c r="AL204" s="8"/>
      <c r="AM204" s="8"/>
    </row>
  </sheetData>
  <autoFilter ref="A3:A204" xr:uid="{382974F8-A8B1-4F7E-99DE-29F38213918A}"/>
  <mergeCells count="2">
    <mergeCell ref="A1:F2"/>
    <mergeCell ref="G1:AM2"/>
  </mergeCells>
  <conditionalFormatting sqref="C25">
    <cfRule type="duplicateValues" dxfId="9" priority="5"/>
  </conditionalFormatting>
  <conditionalFormatting sqref="C26">
    <cfRule type="duplicateValues" dxfId="8" priority="4"/>
  </conditionalFormatting>
  <conditionalFormatting sqref="C27:C33 C35:C104 C106 C108:C1048576 C1:C24">
    <cfRule type="duplicateValues" dxfId="7" priority="7"/>
  </conditionalFormatting>
  <conditionalFormatting sqref="C34">
    <cfRule type="duplicateValues" dxfId="6" priority="2"/>
  </conditionalFormatting>
  <conditionalFormatting sqref="C105">
    <cfRule type="duplicateValues" dxfId="5" priority="1"/>
  </conditionalFormatting>
  <conditionalFormatting sqref="C119:C120">
    <cfRule type="duplicateValues" dxfId="4" priority="10"/>
  </conditionalFormatting>
  <conditionalFormatting sqref="C122">
    <cfRule type="duplicateValues" dxfId="3" priority="9"/>
  </conditionalFormatting>
  <conditionalFormatting sqref="C124">
    <cfRule type="duplicateValues" dxfId="2" priority="8"/>
  </conditionalFormatting>
  <conditionalFormatting sqref="F1:F1048576">
    <cfRule type="duplicateValues" dxfId="1" priority="6"/>
  </conditionalFormatting>
  <conditionalFormatting sqref="F3:F1048576">
    <cfRule type="duplicateValues" dxfId="0" priority="11"/>
  </conditionalFormatting>
  <pageMargins left="0.7" right="0.7" top="0.75" bottom="0.75" header="0.3" footer="0.3"/>
  <pageSetup orientation="portrait" r:id="rId1"/>
  <ignoredErrors>
    <ignoredError sqref="L99:L100 Y99:Y100 Y49:Y53 Y37:Y47 L135:L138 Y19:Y21 L18 O18 L22 Y28:Y29 L38 L40:L41 O33 L33 L141 O142 L164 O164:O165 Y164:Y166 L132:L133 Y17 O14 L126 O131:O139 Y131:Y138 L115:L116 O115:O118 O111 Y12:Y13 Y126 O126 Y5 L174 O99:O109 Y7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22">
        <x14:dataValidation type="list" allowBlank="1" showInputMessage="1" showErrorMessage="1" xr:uid="{EC3F6BD0-602C-4094-A7C3-9538A73CEF76}">
          <x14:formula1>
            <xm:f>'Dropdown Values'!$P$2:$P$40</xm:f>
          </x14:formula1>
          <xm:sqref>AE20:AF21 AF12:AF16 AF24:AF28 AG186:AG204 AG5:AG183</xm:sqref>
        </x14:dataValidation>
        <x14:dataValidation type="list" allowBlank="1" showInputMessage="1" showErrorMessage="1" xr:uid="{90E13B78-854C-4E37-8705-04DE4FB24895}">
          <x14:formula1>
            <xm:f>'Dropdown Values'!$D$2:$D$40</xm:f>
          </x14:formula1>
          <xm:sqref>L186:L204 L5:L183</xm:sqref>
        </x14:dataValidation>
        <x14:dataValidation type="list" allowBlank="1" showInputMessage="1" showErrorMessage="1" xr:uid="{C96ECF76-4FED-4D5C-B922-B053986AE26B}">
          <x14:formula1>
            <xm:f>'Dropdown Values'!$E$2:$E$40</xm:f>
          </x14:formula1>
          <xm:sqref>N186:N204 N5:N183</xm:sqref>
        </x14:dataValidation>
        <x14:dataValidation type="list" allowBlank="1" showInputMessage="1" showErrorMessage="1" xr:uid="{23CB7FE5-4019-4AFE-887E-8077DE2B1B8D}">
          <x14:formula1>
            <xm:f>'Dropdown Values'!$N$2:$N$40</xm:f>
          </x14:formula1>
          <xm:sqref>AE22:AE183 AE186:AE204 AE5:AE19</xm:sqref>
        </x14:dataValidation>
        <x14:dataValidation type="list" allowBlank="1" showInputMessage="1" showErrorMessage="1" xr:uid="{8D280433-780E-4636-AB09-7792250F29F5}">
          <x14:formula1>
            <xm:f>'Dropdown Values'!$M$2:$M$40</xm:f>
          </x14:formula1>
          <xm:sqref>AC186:AC204 AC5:AC183</xm:sqref>
        </x14:dataValidation>
        <x14:dataValidation type="list" allowBlank="1" showInputMessage="1" showErrorMessage="1" xr:uid="{A1352986-4A95-4AD8-98A4-DF5CEA407B26}">
          <x14:formula1>
            <xm:f>'Dropdown Values'!$L$2:$L$40</xm:f>
          </x14:formula1>
          <xm:sqref>AA186:AA204 AA5:AA183</xm:sqref>
        </x14:dataValidation>
        <x14:dataValidation type="list" allowBlank="1" showInputMessage="1" showErrorMessage="1" xr:uid="{B9F00D11-2460-4BB6-963A-EF650FCD5C36}">
          <x14:formula1>
            <xm:f>'Dropdown Values'!$K$2:$K$40</xm:f>
          </x14:formula1>
          <xm:sqref>Y186:Y204 Y5:Y183</xm:sqref>
        </x14:dataValidation>
        <x14:dataValidation type="list" allowBlank="1" showInputMessage="1" showErrorMessage="1" xr:uid="{DE585AB0-2FA1-48E6-9DDC-AEED73837512}">
          <x14:formula1>
            <xm:f>'Dropdown Values'!$J$2:$J$40</xm:f>
          </x14:formula1>
          <xm:sqref>W186:W204 W5:W183</xm:sqref>
        </x14:dataValidation>
        <x14:dataValidation type="list" allowBlank="1" showInputMessage="1" showErrorMessage="1" xr:uid="{A4584F4E-4E06-4B0E-9620-4008D8CC9DA7}">
          <x14:formula1>
            <xm:f>'Dropdown Values'!$I$2:$I$40</xm:f>
          </x14:formula1>
          <xm:sqref>U186:U204 U5:U183</xm:sqref>
        </x14:dataValidation>
        <x14:dataValidation type="list" allowBlank="1" showInputMessage="1" showErrorMessage="1" xr:uid="{68725249-5649-48E9-8FFE-12D686A9105D}">
          <x14:formula1>
            <xm:f>'Dropdown Values'!$H$2:$H$6</xm:f>
          </x14:formula1>
          <xm:sqref>S186:S204 S5:S183</xm:sqref>
        </x14:dataValidation>
        <x14:dataValidation type="list" allowBlank="1" showInputMessage="1" showErrorMessage="1" xr:uid="{C5BD8F35-776E-45BF-B698-8F458B7EF9F1}">
          <x14:formula1>
            <xm:f>'Dropdown Values'!$G$2:$G$6</xm:f>
          </x14:formula1>
          <xm:sqref>Q186:Q204 Q5:Q183</xm:sqref>
        </x14:dataValidation>
        <x14:dataValidation type="list" allowBlank="1" showInputMessage="1" showErrorMessage="1" xr:uid="{65A6D7DC-6FBF-48D2-A6EC-9A54FC124676}">
          <x14:formula1>
            <xm:f>'Dropdown Values'!$A$2:$A$6</xm:f>
          </x14:formula1>
          <xm:sqref>G186:G204 G5:G183</xm:sqref>
        </x14:dataValidation>
        <x14:dataValidation type="list" allowBlank="1" showInputMessage="1" showErrorMessage="1" xr:uid="{20413B29-134E-4662-BCD8-2577630EC3C4}">
          <x14:formula1>
            <xm:f>'Dropdown Values'!$Q$2:$Q$100</xm:f>
          </x14:formula1>
          <xm:sqref>AH5 AH12:AH183 AH186:AH204</xm:sqref>
        </x14:dataValidation>
        <x14:dataValidation type="list" allowBlank="1" showInputMessage="1" showErrorMessage="1" xr:uid="{894E9BAA-4392-4E0B-B48E-A532ED3F0EC0}">
          <x14:formula1>
            <xm:f>'Dropdown Values'!$R$2:$R$100</xm:f>
          </x14:formula1>
          <xm:sqref>AI5 AI12:AI183 AI186:AI204 AH6:AH11</xm:sqref>
        </x14:dataValidation>
        <x14:dataValidation type="list" allowBlank="1" showInputMessage="1" showErrorMessage="1" xr:uid="{E0D339A4-44F9-49C7-A70B-46831D5AF132}">
          <x14:formula1>
            <xm:f>'Dropdown Values'!$S$2:$S$101</xm:f>
          </x14:formula1>
          <xm:sqref>AJ5 AJ12:AJ183 AJ186:AJ204 AI6:AI11</xm:sqref>
        </x14:dataValidation>
        <x14:dataValidation type="list" allowBlank="1" showInputMessage="1" showErrorMessage="1" xr:uid="{A8A0C078-55C4-41A5-B800-7A910E45F4BE}">
          <x14:formula1>
            <xm:f>'Dropdown Values'!$T$2:$T$100</xm:f>
          </x14:formula1>
          <xm:sqref>AK186:AK204 AK5:AK183 AJ6:AJ11</xm:sqref>
        </x14:dataValidation>
        <x14:dataValidation type="list" allowBlank="1" showInputMessage="1" showErrorMessage="1" xr:uid="{F6500AE9-D41B-4FA1-B983-B8E91C1CD690}">
          <x14:formula1>
            <xm:f>'Dropdown Values'!$U$2:$U$100</xm:f>
          </x14:formula1>
          <xm:sqref>AL186:AL204 AL5:AL183</xm:sqref>
        </x14:dataValidation>
        <x14:dataValidation type="list" allowBlank="1" showInputMessage="1" showErrorMessage="1" xr:uid="{EA74EB59-2501-4349-8E75-5E60C141E1DB}">
          <x14:formula1>
            <xm:f>'Dropdown Values'!$O$2:$O$40</xm:f>
          </x14:formula1>
          <xm:sqref>AF29:AF183 AF22:AF23 AF17:AF19 AF186:AF204 AF5:AF11</xm:sqref>
        </x14:dataValidation>
        <x14:dataValidation type="list" allowBlank="1" showInputMessage="1" showErrorMessage="1" xr:uid="{10207399-EBF8-4347-A667-7EDEEF2C020B}">
          <x14:formula1>
            <xm:f>'Dropdown Values'!$F$2:$F$80</xm:f>
          </x14:formula1>
          <xm:sqref>O186:O204 O5:O183</xm:sqref>
        </x14:dataValidation>
        <x14:dataValidation type="list" allowBlank="1" showInputMessage="1" showErrorMessage="1" xr:uid="{55FC9823-37CA-4568-8B91-24710B521BEB}">
          <x14:formula1>
            <xm:f>'Dropdown Values'!$B$2:$B$40</xm:f>
          </x14:formula1>
          <xm:sqref>I186:I204 I5:I183</xm:sqref>
        </x14:dataValidation>
        <x14:dataValidation type="list" allowBlank="1" showInputMessage="1" showErrorMessage="1" xr:uid="{E00E487C-2D03-4A1D-ABC5-7871F7CC4EEF}">
          <x14:formula1>
            <xm:f>'Dropdown Values'!$C$2:$C$40</xm:f>
          </x14:formula1>
          <xm:sqref>J186:J204 J5:J183</xm:sqref>
        </x14:dataValidation>
        <x14:dataValidation type="list" allowBlank="1" showInputMessage="1" showErrorMessage="1" xr:uid="{49A333EE-D8EA-4B5E-BA61-4803C82CA706}">
          <x14:formula1>
            <xm:f>'Dropdown Values'!$V$2:$V$101</xm:f>
          </x14:formula1>
          <xm:sqref>AM1:AM1048576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Dropdown Values</vt:lpstr>
      <vt:lpstr>Value Descriptions</vt:lpstr>
      <vt:lpstr>Part Number Builder 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K</dc:creator>
  <cp:lastModifiedBy>Jay K</cp:lastModifiedBy>
  <dcterms:created xsi:type="dcterms:W3CDTF">2024-06-27T19:28:08Z</dcterms:created>
  <dcterms:modified xsi:type="dcterms:W3CDTF">2026-07-10T06:11:18Z</dcterms:modified>
</cp:coreProperties>
</file>